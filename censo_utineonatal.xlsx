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UTIN" sheetId="1" r:id="rId1"/>
    <sheet name="UCINCO" sheetId="2" r:id="rId2"/>
    <sheet name="UCINC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<sst xmlns="http://schemas.openxmlformats.org/spreadsheetml/2006/main" count="234" uniqueCount="83">
  <si>
    <t>Leito</t>
  </si>
  <si>
    <t>Nº</t>
  </si>
  <si>
    <t>Usuário</t>
  </si>
  <si>
    <t>Data/Admissão</t>
  </si>
  <si>
    <t>Data/saída</t>
  </si>
  <si>
    <t>Motivo da saída</t>
  </si>
  <si>
    <t>Taxa de
ocupação</t>
  </si>
  <si>
    <t>Diárias</t>
  </si>
  <si>
    <t>Saídas</t>
  </si>
  <si>
    <t>Óbitos</t>
  </si>
  <si>
    <t>Óbito &gt; 24H</t>
  </si>
  <si>
    <t>Óbito &lt;24H</t>
  </si>
  <si>
    <t>Capital</t>
  </si>
  <si>
    <t>Interior</t>
  </si>
  <si>
    <t>UTIN</t>
  </si>
  <si>
    <t>ANALU OLIVEIRA VIEIRA G2</t>
  </si>
  <si>
    <t>ALTA P/CASA</t>
  </si>
  <si>
    <t>LUISA CORREA</t>
  </si>
  <si>
    <t xml:space="preserve">MIGUEL ANTONIO DE SOUZA </t>
  </si>
  <si>
    <t>MIGUEL KOELHERT</t>
  </si>
  <si>
    <t>ÓBITO</t>
  </si>
  <si>
    <t>NATANAEL WAIHIDZATSE</t>
  </si>
  <si>
    <t>ANA LIVIA F. DE SIQUEIRA</t>
  </si>
  <si>
    <t>TRANSF UCINCA</t>
  </si>
  <si>
    <t>ELOA FRANCISCA NUNES DOS SANTOS G1</t>
  </si>
  <si>
    <t>ARYELLA VICTORIA SANTOS DE OLIVEIRA</t>
  </si>
  <si>
    <t>TRANSF UCINCO</t>
  </si>
  <si>
    <t>ISADORA GONCALO DA CRUZ</t>
  </si>
  <si>
    <t xml:space="preserve">MAYA GABRIELLY DA SILVA </t>
  </si>
  <si>
    <t>ARTHUR MIGUEL DE ALMEIDA SILVA</t>
  </si>
  <si>
    <t>GAEL MATHEUS ALMONOR REME</t>
  </si>
  <si>
    <t>PEDRO HENRIQUE FERREIRA DOS REIS</t>
  </si>
  <si>
    <t>ELOA VALENTINA QUEIROZ SANTOS ALVES</t>
  </si>
  <si>
    <t xml:space="preserve">HELENA VITORIA CARVALHO COSTA </t>
  </si>
  <si>
    <t>KALLEB LEVY OTAVIANO ALMEIDA</t>
  </si>
  <si>
    <t>REBECA MANUELLA S. M. RODRIGUES</t>
  </si>
  <si>
    <t xml:space="preserve">DAVI SAMUEL GONZAGA </t>
  </si>
  <si>
    <t xml:space="preserve">DAVI LUCCA DANTAS GUIMARAES </t>
  </si>
  <si>
    <t>TRANSF P/ PED</t>
  </si>
  <si>
    <t>RAPHAEL LUCIO DO N. SANTOS G1</t>
  </si>
  <si>
    <t>MIGUEL BENTO DO N. SANTOS G2</t>
  </si>
  <si>
    <t xml:space="preserve">MARIA LIA VEIGAS DA COSTA </t>
  </si>
  <si>
    <t xml:space="preserve">RHAVI FELIPE BASTOS DE OLIVEIRA </t>
  </si>
  <si>
    <t>GUSTAVO HENRIQUE SOUZA DE CEBALHO</t>
  </si>
  <si>
    <t>AYLLA VITORIA PEREIRA DA SILVA</t>
  </si>
  <si>
    <t xml:space="preserve">HELENA DUARTE DE SOUZA </t>
  </si>
  <si>
    <t>ANANDA MOURA BELO</t>
  </si>
  <si>
    <t>SAMUEL RAVI DOS SANTOS SILVA</t>
  </si>
  <si>
    <t>LOHAN DA CONCEIÇÃO MARTINS AMARAL</t>
  </si>
  <si>
    <t>MARIA LUIZA VERANO DA COSTA</t>
  </si>
  <si>
    <t xml:space="preserve">ANTHONY KALEO OJEDA BRAUNA </t>
  </si>
  <si>
    <t>LARA SOUZA DE ALMEIDA MIRANDA</t>
  </si>
  <si>
    <t>YURI GONÇALVES DE AMORIM</t>
  </si>
  <si>
    <t xml:space="preserve">RN DE LAURIANE CRISTINA DE ARRUDA </t>
  </si>
  <si>
    <t xml:space="preserve">AURORA DE QUADROS PRATES </t>
  </si>
  <si>
    <t>AMABILLY VICTORIA O. DE SOUZA SILVA</t>
  </si>
  <si>
    <t>RN KETHELYN DOS REIS DA SILVA</t>
  </si>
  <si>
    <t>RN DE DANIELA SANTOS DE O. DA SILVA</t>
  </si>
  <si>
    <t>TOTAIS</t>
  </si>
  <si>
    <t xml:space="preserve">Leitos </t>
  </si>
  <si>
    <t>Dias na competencia</t>
  </si>
  <si>
    <t>Total</t>
  </si>
  <si>
    <t>Leitos Ocupados</t>
  </si>
  <si>
    <t>Taxa de Ocupação</t>
  </si>
  <si>
    <t>Média Permanencia</t>
  </si>
  <si>
    <t>% Óbitos</t>
  </si>
  <si>
    <t>% &gt;24h</t>
  </si>
  <si>
    <t>% &lt;24h</t>
  </si>
  <si>
    <t>% Capital</t>
  </si>
  <si>
    <t>% Interior</t>
  </si>
  <si>
    <t>UCINCO</t>
  </si>
  <si>
    <t>CATARINA MARQUES DO R. MELO</t>
  </si>
  <si>
    <t>LUIS AUGUSTO ALVES</t>
  </si>
  <si>
    <t>MIGUEL VITORINO DE PINHO</t>
  </si>
  <si>
    <t>ELENA ALMEIDA POMBO G2</t>
  </si>
  <si>
    <t>UCINCA</t>
  </si>
  <si>
    <t>AYLLA VALENTINA RODRIGUES DA SILVA</t>
  </si>
  <si>
    <t>GAEL MANOEL MATOS DA SILVA</t>
  </si>
  <si>
    <t xml:space="preserve">BRAYAN EMANUEL NUNES DA COSTA </t>
  </si>
  <si>
    <t>TRANSF P/ UTIN</t>
  </si>
  <si>
    <t xml:space="preserve">ANTONELLA THOMAZ DA SILVA LISBOA </t>
  </si>
  <si>
    <t>23/11/20255</t>
  </si>
  <si>
    <t>ISIS AURORA LUIZA FERREIRA DE SANTANA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</si>
</sst>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</numFmts>
  <fonts count="34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omic Sans MS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11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24" fillId="14" borderId="11" applyNumberFormat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3" fillId="0" borderId="0"/>
  </cellStyleXfs>
  <cellXfs count="152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 wrapText="1"/>
    </xf>
    <xf numFmtId="49" fontId="1" fillId="2" borderId="1" xfId="49" applyNumberFormat="1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180" fontId="2" fillId="2" borderId="2" xfId="49" applyNumberFormat="1" applyFont="1" applyFill="1" applyBorder="1" applyAlignment="1">
      <alignment horizontal="center" vertical="center"/>
    </xf>
    <xf numFmtId="49" fontId="1" fillId="2" borderId="1" xfId="49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180" fontId="4" fillId="3" borderId="1" xfId="0" applyNumberFormat="1" applyFont="1" applyFill="1" applyBorder="1" applyAlignment="1">
      <alignment horizontal="center" vertical="center"/>
    </xf>
    <xf numFmtId="49" fontId="3" fillId="3" borderId="1" xfId="49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180" fontId="1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80" fontId="4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3" borderId="0" xfId="0" applyFont="1" applyFill="1" applyAlignment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/>
    <xf numFmtId="180" fontId="1" fillId="6" borderId="1" xfId="0" applyNumberFormat="1" applyFont="1" applyFill="1" applyBorder="1" applyAlignment="1">
      <alignment horizontal="center" vertical="center"/>
    </xf>
    <xf numFmtId="49" fontId="3" fillId="2" borderId="1" xfId="49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5" fillId="0" borderId="1" xfId="0" applyFont="1" applyFill="1" applyBorder="1" applyAlignment="1"/>
    <xf numFmtId="0" fontId="6" fillId="3" borderId="1" xfId="0" applyFont="1" applyFill="1" applyBorder="1" applyAlignment="1">
      <alignment horizontal="center"/>
    </xf>
    <xf numFmtId="180" fontId="1" fillId="7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/>
    <xf numFmtId="180" fontId="4" fillId="5" borderId="3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/>
    <xf numFmtId="0" fontId="1" fillId="8" borderId="4" xfId="49" applyFont="1" applyFill="1" applyBorder="1" applyAlignment="1">
      <alignment horizontal="left" vertical="center"/>
    </xf>
    <xf numFmtId="0" fontId="1" fillId="8" borderId="5" xfId="49" applyFont="1" applyFill="1" applyBorder="1" applyAlignment="1">
      <alignment horizontal="left" vertical="center"/>
    </xf>
    <xf numFmtId="0" fontId="1" fillId="8" borderId="5" xfId="49" applyFont="1" applyFill="1" applyBorder="1" applyAlignment="1">
      <alignment horizontal="center" vertical="center"/>
    </xf>
    <xf numFmtId="0" fontId="1" fillId="8" borderId="2" xfId="49" applyFont="1" applyFill="1" applyBorder="1" applyAlignment="1">
      <alignment horizontal="left" vertical="center"/>
    </xf>
    <xf numFmtId="0" fontId="1" fillId="9" borderId="1" xfId="49" applyNumberFormat="1" applyFont="1" applyFill="1" applyBorder="1" applyAlignment="1">
      <alignment horizontal="center" vertical="center"/>
    </xf>
    <xf numFmtId="0" fontId="1" fillId="8" borderId="1" xfId="49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0" fontId="0" fillId="2" borderId="0" xfId="49" applyFont="1" applyFill="1"/>
    <xf numFmtId="0" fontId="0" fillId="0" borderId="0" xfId="49" applyFont="1" applyAlignment="1">
      <alignment horizontal="left" vertical="center"/>
    </xf>
    <xf numFmtId="0" fontId="1" fillId="10" borderId="1" xfId="49" applyFont="1" applyFill="1" applyBorder="1" applyAlignment="1">
      <alignment horizontal="center" vertical="center"/>
    </xf>
    <xf numFmtId="0" fontId="1" fillId="10" borderId="1" xfId="49" applyFont="1" applyFill="1" applyBorder="1" applyAlignment="1">
      <alignment horizontal="center" vertical="center" wrapText="1"/>
    </xf>
    <xf numFmtId="0" fontId="0" fillId="0" borderId="6" xfId="49" applyFont="1" applyBorder="1" applyAlignment="1">
      <alignment horizontal="left" vertical="center"/>
    </xf>
    <xf numFmtId="0" fontId="0" fillId="0" borderId="1" xfId="49" applyFont="1" applyBorder="1" applyAlignment="1">
      <alignment horizontal="center" vertical="center"/>
    </xf>
    <xf numFmtId="0" fontId="0" fillId="9" borderId="1" xfId="49" applyFont="1" applyFill="1" applyBorder="1" applyAlignment="1">
      <alignment horizontal="center" vertical="center"/>
    </xf>
    <xf numFmtId="9" fontId="0" fillId="0" borderId="1" xfId="49" applyNumberFormat="1" applyFont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4" xfId="49" applyNumberFormat="1" applyFont="1" applyFill="1" applyBorder="1" applyAlignment="1">
      <alignment horizontal="center" vertical="center"/>
    </xf>
    <xf numFmtId="0" fontId="1" fillId="8" borderId="1" xfId="49" applyFont="1" applyFill="1" applyBorder="1" applyAlignment="1">
      <alignment horizontal="center" vertical="center"/>
    </xf>
    <xf numFmtId="0" fontId="1" fillId="10" borderId="4" xfId="49" applyFont="1" applyFill="1" applyBorder="1" applyAlignment="1">
      <alignment horizontal="center" vertical="center"/>
    </xf>
    <xf numFmtId="2" fontId="0" fillId="0" borderId="1" xfId="49" applyNumberFormat="1" applyFont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0" fontId="0" fillId="0" borderId="1" xfId="49" applyNumberFormat="1" applyFont="1" applyBorder="1" applyAlignment="1">
      <alignment horizontal="center" vertical="center"/>
    </xf>
    <xf numFmtId="10" fontId="0" fillId="0" borderId="4" xfId="49" applyNumberFormat="1" applyFont="1" applyBorder="1" applyAlignment="1">
      <alignment horizontal="center" vertical="center"/>
    </xf>
    <xf numFmtId="180" fontId="1" fillId="2" borderId="1" xfId="49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180" fontId="8" fillId="3" borderId="1" xfId="0" applyNumberFormat="1" applyFont="1" applyFill="1" applyBorder="1" applyAlignment="1"/>
    <xf numFmtId="0" fontId="3" fillId="3" borderId="7" xfId="0" applyFont="1" applyFill="1" applyBorder="1" applyAlignment="1"/>
    <xf numFmtId="180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0" fontId="4" fillId="3" borderId="0" xfId="0" applyFont="1" applyFill="1" applyAlignment="1"/>
    <xf numFmtId="180" fontId="0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/>
    <xf numFmtId="180" fontId="3" fillId="5" borderId="1" xfId="0" applyNumberFormat="1" applyFont="1" applyFill="1" applyBorder="1" applyAlignment="1">
      <alignment horizontal="center"/>
    </xf>
    <xf numFmtId="49" fontId="3" fillId="5" borderId="1" xfId="49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/>
    <xf numFmtId="0" fontId="2" fillId="3" borderId="1" xfId="0" applyFont="1" applyFill="1" applyBorder="1" applyAlignment="1"/>
    <xf numFmtId="18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80" fontId="0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180" fontId="0" fillId="7" borderId="1" xfId="0" applyNumberFormat="1" applyFont="1" applyFill="1" applyBorder="1" applyAlignment="1">
      <alignment horizontal="center"/>
    </xf>
    <xf numFmtId="49" fontId="10" fillId="7" borderId="1" xfId="49" applyNumberFormat="1" applyFont="1" applyFill="1" applyBorder="1" applyAlignment="1">
      <alignment horizontal="center" vertical="center"/>
    </xf>
    <xf numFmtId="180" fontId="8" fillId="5" borderId="3" xfId="0" applyNumberFormat="1" applyFont="1" applyFill="1" applyBorder="1" applyAlignment="1"/>
    <xf numFmtId="49" fontId="1" fillId="2" borderId="4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2" fillId="0" borderId="1" xfId="0" applyFont="1" applyFill="1" applyBorder="1" applyAlignment="1"/>
    <xf numFmtId="0" fontId="13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8" fillId="5" borderId="7" xfId="0" applyFont="1" applyFill="1" applyBorder="1" applyAlignment="1">
      <alignment horizontal="center"/>
    </xf>
    <xf numFmtId="0" fontId="4" fillId="5" borderId="0" xfId="0" applyFont="1" applyFill="1" applyAlignment="1"/>
    <xf numFmtId="0" fontId="8" fillId="5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180" fontId="1" fillId="5" borderId="1" xfId="0" applyNumberFormat="1" applyFont="1" applyFill="1" applyBorder="1" applyAlignment="1">
      <alignment horizontal="center" vertical="center"/>
    </xf>
    <xf numFmtId="180" fontId="6" fillId="5" borderId="1" xfId="0" applyNumberFormat="1" applyFont="1" applyFill="1" applyBorder="1" applyAlignment="1"/>
    <xf numFmtId="49" fontId="10" fillId="5" borderId="1" xfId="49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2" fillId="7" borderId="1" xfId="0" applyFont="1" applyFill="1" applyBorder="1" applyAlignment="1"/>
    <xf numFmtId="180" fontId="6" fillId="7" borderId="1" xfId="0" applyNumberFormat="1" applyFont="1" applyFill="1" applyBorder="1" applyAlignment="1"/>
    <xf numFmtId="0" fontId="8" fillId="7" borderId="1" xfId="0" applyFont="1" applyFill="1" applyBorder="1" applyAlignment="1">
      <alignment horizontal="center"/>
    </xf>
    <xf numFmtId="0" fontId="4" fillId="7" borderId="1" xfId="0" applyFont="1" applyFill="1" applyBorder="1" applyAlignment="1"/>
    <xf numFmtId="180" fontId="4" fillId="7" borderId="1" xfId="0" applyNumberFormat="1" applyFont="1" applyFill="1" applyBorder="1" applyAlignment="1">
      <alignment horizontal="center" vertical="center"/>
    </xf>
    <xf numFmtId="180" fontId="8" fillId="7" borderId="1" xfId="0" applyNumberFormat="1" applyFont="1" applyFill="1" applyBorder="1" applyAlignment="1"/>
    <xf numFmtId="49" fontId="3" fillId="7" borderId="1" xfId="49" applyNumberFormat="1" applyFont="1" applyFill="1" applyBorder="1" applyAlignment="1">
      <alignment horizontal="center" vertical="center"/>
    </xf>
    <xf numFmtId="180" fontId="6" fillId="3" borderId="1" xfId="0" applyNumberFormat="1" applyFont="1" applyFill="1" applyBorder="1" applyAlignment="1"/>
    <xf numFmtId="0" fontId="6" fillId="6" borderId="1" xfId="0" applyFont="1" applyFill="1" applyBorder="1" applyAlignment="1">
      <alignment horizontal="center"/>
    </xf>
    <xf numFmtId="0" fontId="4" fillId="6" borderId="1" xfId="0" applyFont="1" applyFill="1" applyBorder="1" applyAlignment="1"/>
    <xf numFmtId="180" fontId="6" fillId="6" borderId="1" xfId="0" applyNumberFormat="1" applyFont="1" applyFill="1" applyBorder="1" applyAlignment="1"/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/>
    <xf numFmtId="180" fontId="7" fillId="5" borderId="1" xfId="0" applyNumberFormat="1" applyFont="1" applyFill="1" applyBorder="1" applyAlignment="1">
      <alignment horizontal="center" vertical="center"/>
    </xf>
    <xf numFmtId="180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80" fontId="7" fillId="7" borderId="1" xfId="0" applyNumberFormat="1" applyFont="1" applyFill="1" applyBorder="1" applyAlignment="1">
      <alignment horizontal="center" vertical="center"/>
    </xf>
    <xf numFmtId="180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7" fillId="7" borderId="1" xfId="0" applyFont="1" applyFill="1" applyBorder="1" applyAlignment="1"/>
    <xf numFmtId="0" fontId="7" fillId="6" borderId="1" xfId="0" applyFont="1" applyFill="1" applyBorder="1" applyAlignment="1">
      <alignment horizontal="center"/>
    </xf>
    <xf numFmtId="180" fontId="7" fillId="6" borderId="1" xfId="0" applyNumberFormat="1" applyFont="1" applyFill="1" applyBorder="1" applyAlignment="1">
      <alignment horizontal="center" vertical="center"/>
    </xf>
    <xf numFmtId="180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/>
    <xf numFmtId="180" fontId="4" fillId="11" borderId="1" xfId="0" applyNumberFormat="1" applyFont="1" applyFill="1" applyBorder="1" applyAlignment="1">
      <alignment horizontal="center" vertical="center"/>
    </xf>
    <xf numFmtId="180" fontId="3" fillId="11" borderId="1" xfId="0" applyNumberFormat="1" applyFont="1" applyFill="1" applyBorder="1" applyAlignment="1">
      <alignment horizontal="center"/>
    </xf>
    <xf numFmtId="49" fontId="3" fillId="11" borderId="1" xfId="49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80" fontId="7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80" fontId="4" fillId="6" borderId="1" xfId="0" applyNumberFormat="1" applyFont="1" applyFill="1" applyBorder="1" applyAlignment="1">
      <alignment horizontal="center" vertical="center"/>
    </xf>
    <xf numFmtId="180" fontId="3" fillId="6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80" fontId="7" fillId="3" borderId="1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/>
    </xf>
    <xf numFmtId="180" fontId="3" fillId="3" borderId="1" xfId="0" applyNumberFormat="1" applyFont="1" applyFill="1" applyBorder="1" applyAlignment="1">
      <alignment horizontal="center"/>
    </xf>
    <xf numFmtId="180" fontId="6" fillId="0" borderId="1" xfId="0" applyNumberFormat="1" applyFont="1" applyFill="1" applyBorder="1" applyAlignment="1">
      <alignment horizontal="center"/>
    </xf>
    <xf numFmtId="180" fontId="1" fillId="8" borderId="5" xfId="49" applyNumberFormat="1" applyFont="1" applyFill="1" applyBorder="1" applyAlignment="1">
      <alignment horizontal="center" vertical="center"/>
    </xf>
    <xf numFmtId="180" fontId="1" fillId="8" borderId="5" xfId="49" applyNumberFormat="1" applyFont="1" applyFill="1" applyBorder="1" applyAlignment="1">
      <alignment horizontal="left" vertical="center"/>
    </xf>
    <xf numFmtId="0" fontId="2" fillId="9" borderId="4" xfId="0" applyNumberFormat="1" applyFont="1" applyFill="1" applyBorder="1" applyAlignment="1">
      <alignment horizontal="center"/>
    </xf>
    <xf numFmtId="0" fontId="2" fillId="2" borderId="0" xfId="0" applyFont="1" applyFill="1" applyBorder="1" applyAlignment="1"/>
  </cellXfs>
  <cellStyles count="50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workbookViewId="0">
      <selection activeCell="D1" sqref="D1:D11"/>
    </sheetView>
  </sheetViews>
  <sheetFormatPr defaultColWidth="9.14285714285714" defaultRowHeight="12.75"/>
  <cols>
    <col min="3" max="3" width="37.5714285714286" customWidth="1"/>
    <col min="4" max="4" width="13.8571428571429" customWidth="1"/>
    <col min="5" max="5" width="11.4285714285714" customWidth="1"/>
    <col min="6" max="6" width="16.4285714285714" customWidth="1"/>
  </cols>
  <sheetData>
    <row r="1" ht="25.5" spans="1:14">
      <c r="A1" s="1" t="s">
        <v>0</v>
      </c>
      <c r="B1" s="77" t="s">
        <v>1</v>
      </c>
      <c r="C1" s="78" t="s">
        <v>2</v>
      </c>
      <c r="D1" s="4" t="s">
        <v>3</v>
      </c>
      <c r="E1" s="56" t="s">
        <v>4</v>
      </c>
      <c r="F1" s="1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48" t="s">
        <v>11</v>
      </c>
      <c r="M1" s="49" t="s">
        <v>12</v>
      </c>
      <c r="N1" s="48" t="s">
        <v>13</v>
      </c>
    </row>
    <row r="2" ht="15" spans="1:14">
      <c r="A2" s="1" t="s">
        <v>14</v>
      </c>
      <c r="B2" s="79">
        <v>1</v>
      </c>
      <c r="C2" s="7" t="s">
        <v>15</v>
      </c>
      <c r="D2" s="8">
        <v>45875</v>
      </c>
      <c r="E2" s="58">
        <v>45976</v>
      </c>
      <c r="F2" s="9" t="s">
        <v>16</v>
      </c>
      <c r="G2" s="80">
        <v>15</v>
      </c>
      <c r="H2" s="80">
        <v>14</v>
      </c>
      <c r="I2" s="80">
        <v>1</v>
      </c>
      <c r="J2" s="80">
        <v>0</v>
      </c>
      <c r="K2" s="80">
        <v>0</v>
      </c>
      <c r="L2" s="80">
        <v>0</v>
      </c>
      <c r="M2" s="80">
        <v>1</v>
      </c>
      <c r="N2" s="80">
        <v>0</v>
      </c>
    </row>
    <row r="3" spans="1:14">
      <c r="A3" s="1" t="s">
        <v>14</v>
      </c>
      <c r="B3" s="81">
        <v>2</v>
      </c>
      <c r="C3" s="82" t="s">
        <v>17</v>
      </c>
      <c r="D3" s="11">
        <v>45900</v>
      </c>
      <c r="E3" s="60"/>
      <c r="F3" s="61"/>
      <c r="G3" s="70">
        <v>30</v>
      </c>
      <c r="H3" s="70">
        <v>30</v>
      </c>
      <c r="I3" s="70"/>
      <c r="J3" s="70"/>
      <c r="K3" s="70"/>
      <c r="L3" s="70"/>
      <c r="M3" s="70">
        <v>1</v>
      </c>
      <c r="N3" s="70">
        <v>0</v>
      </c>
    </row>
    <row r="4" ht="15" spans="1:14">
      <c r="A4" s="1" t="s">
        <v>14</v>
      </c>
      <c r="B4" s="83">
        <v>3</v>
      </c>
      <c r="C4" s="68" t="s">
        <v>18</v>
      </c>
      <c r="D4" s="13">
        <v>45904</v>
      </c>
      <c r="E4" s="63">
        <v>45964</v>
      </c>
      <c r="F4" s="9" t="s">
        <v>16</v>
      </c>
      <c r="G4" s="10">
        <v>3</v>
      </c>
      <c r="H4" s="10">
        <v>2</v>
      </c>
      <c r="I4" s="10">
        <v>1</v>
      </c>
      <c r="J4" s="10">
        <v>0</v>
      </c>
      <c r="K4" s="10">
        <v>0</v>
      </c>
      <c r="L4" s="10">
        <v>0</v>
      </c>
      <c r="M4" s="10">
        <v>0</v>
      </c>
      <c r="N4" s="10">
        <v>1</v>
      </c>
    </row>
    <row r="5" spans="1:14">
      <c r="A5" s="1" t="s">
        <v>14</v>
      </c>
      <c r="B5" s="84">
        <v>4</v>
      </c>
      <c r="C5" s="85" t="s">
        <v>19</v>
      </c>
      <c r="D5" s="16">
        <v>45935</v>
      </c>
      <c r="E5" s="65">
        <v>45987</v>
      </c>
      <c r="F5" s="66" t="s">
        <v>20</v>
      </c>
      <c r="G5" s="86">
        <v>26</v>
      </c>
      <c r="H5" s="86">
        <v>26</v>
      </c>
      <c r="I5" s="86">
        <v>1</v>
      </c>
      <c r="J5" s="86">
        <v>1</v>
      </c>
      <c r="K5" s="86">
        <v>1</v>
      </c>
      <c r="L5" s="86">
        <v>0</v>
      </c>
      <c r="M5" s="86">
        <v>0</v>
      </c>
      <c r="N5" s="86">
        <v>1</v>
      </c>
    </row>
    <row r="6" spans="1:14">
      <c r="A6" s="1" t="s">
        <v>14</v>
      </c>
      <c r="B6" s="81">
        <v>5</v>
      </c>
      <c r="C6" s="87" t="s">
        <v>21</v>
      </c>
      <c r="D6" s="11">
        <v>45941</v>
      </c>
      <c r="E6" s="69"/>
      <c r="F6" s="70"/>
      <c r="G6" s="70">
        <v>30</v>
      </c>
      <c r="H6" s="70">
        <v>30</v>
      </c>
      <c r="I6" s="70"/>
      <c r="J6" s="70"/>
      <c r="K6" s="70"/>
      <c r="L6" s="70"/>
      <c r="M6" s="70">
        <v>1</v>
      </c>
      <c r="N6" s="70">
        <v>0</v>
      </c>
    </row>
    <row r="7" ht="15" spans="1:14">
      <c r="A7" s="1" t="s">
        <v>14</v>
      </c>
      <c r="B7" s="88">
        <v>6</v>
      </c>
      <c r="C7" s="89" t="s">
        <v>22</v>
      </c>
      <c r="D7" s="22">
        <v>45945</v>
      </c>
      <c r="E7" s="71">
        <v>45969</v>
      </c>
      <c r="F7" s="72" t="s">
        <v>23</v>
      </c>
      <c r="G7" s="90">
        <v>8</v>
      </c>
      <c r="H7" s="90">
        <v>7</v>
      </c>
      <c r="I7" s="90">
        <v>1</v>
      </c>
      <c r="J7" s="90">
        <v>0</v>
      </c>
      <c r="K7" s="90">
        <v>0</v>
      </c>
      <c r="L7" s="90">
        <v>0</v>
      </c>
      <c r="M7" s="90">
        <v>1</v>
      </c>
      <c r="N7" s="90">
        <v>0</v>
      </c>
    </row>
    <row r="8" spans="1:14">
      <c r="A8" s="1" t="s">
        <v>14</v>
      </c>
      <c r="B8" s="81">
        <v>7</v>
      </c>
      <c r="C8" s="87" t="s">
        <v>24</v>
      </c>
      <c r="D8" s="11">
        <v>45940</v>
      </c>
      <c r="E8" s="69"/>
      <c r="F8" s="70"/>
      <c r="G8" s="70">
        <v>30</v>
      </c>
      <c r="H8" s="70">
        <v>30</v>
      </c>
      <c r="I8" s="70"/>
      <c r="J8" s="70"/>
      <c r="K8" s="70"/>
      <c r="L8" s="70"/>
      <c r="M8" s="70">
        <v>1</v>
      </c>
      <c r="N8" s="70">
        <v>0</v>
      </c>
    </row>
    <row r="9" spans="1:14">
      <c r="A9" s="1" t="s">
        <v>14</v>
      </c>
      <c r="B9" s="91">
        <v>8</v>
      </c>
      <c r="C9" s="92" t="s">
        <v>25</v>
      </c>
      <c r="D9" s="28">
        <v>45940</v>
      </c>
      <c r="E9" s="74">
        <v>45980</v>
      </c>
      <c r="F9" s="75" t="s">
        <v>26</v>
      </c>
      <c r="G9" s="93">
        <v>19</v>
      </c>
      <c r="H9" s="93">
        <v>19</v>
      </c>
      <c r="I9" s="93">
        <v>1</v>
      </c>
      <c r="J9" s="93">
        <v>0</v>
      </c>
      <c r="K9" s="93">
        <v>0</v>
      </c>
      <c r="L9" s="93">
        <v>0</v>
      </c>
      <c r="M9" s="93">
        <v>1</v>
      </c>
      <c r="N9" s="93">
        <v>0</v>
      </c>
    </row>
    <row r="10" ht="15" spans="1:14">
      <c r="A10" s="1" t="s">
        <v>14</v>
      </c>
      <c r="B10" s="88">
        <v>9</v>
      </c>
      <c r="C10" s="94" t="s">
        <v>27</v>
      </c>
      <c r="D10" s="22">
        <v>45946</v>
      </c>
      <c r="E10" s="71">
        <v>45965</v>
      </c>
      <c r="F10" s="72" t="s">
        <v>23</v>
      </c>
      <c r="G10" s="90">
        <v>4</v>
      </c>
      <c r="H10" s="90">
        <v>3</v>
      </c>
      <c r="I10" s="90">
        <v>1</v>
      </c>
      <c r="J10" s="90">
        <v>0</v>
      </c>
      <c r="K10" s="90">
        <v>0</v>
      </c>
      <c r="L10" s="90">
        <v>0</v>
      </c>
      <c r="M10" s="90">
        <v>1</v>
      </c>
      <c r="N10" s="90">
        <v>0</v>
      </c>
    </row>
    <row r="11" ht="15" spans="1:14">
      <c r="A11" s="1" t="s">
        <v>14</v>
      </c>
      <c r="B11" s="95">
        <v>10</v>
      </c>
      <c r="C11" s="96" t="s">
        <v>28</v>
      </c>
      <c r="D11" s="31">
        <v>45953</v>
      </c>
      <c r="E11" s="76">
        <v>45973</v>
      </c>
      <c r="F11" s="66" t="s">
        <v>20</v>
      </c>
      <c r="G11" s="97">
        <v>12</v>
      </c>
      <c r="H11" s="97">
        <v>12</v>
      </c>
      <c r="I11" s="97">
        <v>1</v>
      </c>
      <c r="J11" s="97">
        <v>1</v>
      </c>
      <c r="K11" s="97">
        <v>1</v>
      </c>
      <c r="L11" s="97">
        <v>0</v>
      </c>
      <c r="M11" s="97">
        <v>0</v>
      </c>
      <c r="N11" s="97">
        <v>1</v>
      </c>
    </row>
    <row r="12" ht="15" spans="1:14">
      <c r="A12" s="1" t="s">
        <v>14</v>
      </c>
      <c r="B12" s="98">
        <v>11</v>
      </c>
      <c r="C12" s="99" t="s">
        <v>29</v>
      </c>
      <c r="D12" s="100">
        <v>45950</v>
      </c>
      <c r="E12" s="101">
        <v>45968</v>
      </c>
      <c r="F12" s="102" t="s">
        <v>20</v>
      </c>
      <c r="G12" s="98">
        <v>7</v>
      </c>
      <c r="H12" s="98">
        <v>7</v>
      </c>
      <c r="I12" s="98">
        <v>1</v>
      </c>
      <c r="J12" s="98">
        <v>1</v>
      </c>
      <c r="K12" s="98">
        <v>1</v>
      </c>
      <c r="L12" s="98">
        <v>0</v>
      </c>
      <c r="M12" s="98">
        <v>1</v>
      </c>
      <c r="N12" s="98">
        <v>0</v>
      </c>
    </row>
    <row r="13" ht="15" spans="1:14">
      <c r="A13" s="1" t="s">
        <v>14</v>
      </c>
      <c r="B13" s="103">
        <v>12</v>
      </c>
      <c r="C13" s="104" t="s">
        <v>30</v>
      </c>
      <c r="D13" s="28">
        <v>45948</v>
      </c>
      <c r="E13" s="105">
        <v>45967</v>
      </c>
      <c r="F13" s="75" t="s">
        <v>26</v>
      </c>
      <c r="G13" s="103">
        <v>6</v>
      </c>
      <c r="H13" s="103">
        <v>5</v>
      </c>
      <c r="I13" s="103">
        <v>1</v>
      </c>
      <c r="J13" s="103">
        <v>0</v>
      </c>
      <c r="K13" s="103">
        <v>0</v>
      </c>
      <c r="L13" s="103">
        <v>0</v>
      </c>
      <c r="M13" s="103">
        <v>1</v>
      </c>
      <c r="N13" s="103">
        <v>0</v>
      </c>
    </row>
    <row r="14" ht="15" spans="1:14">
      <c r="A14" s="1" t="s">
        <v>14</v>
      </c>
      <c r="B14" s="106">
        <v>13</v>
      </c>
      <c r="C14" s="107" t="s">
        <v>31</v>
      </c>
      <c r="D14" s="108">
        <v>45954</v>
      </c>
      <c r="E14" s="109">
        <v>45977</v>
      </c>
      <c r="F14" s="110" t="s">
        <v>26</v>
      </c>
      <c r="G14" s="106">
        <v>15</v>
      </c>
      <c r="H14" s="106">
        <v>15</v>
      </c>
      <c r="I14" s="106">
        <v>1</v>
      </c>
      <c r="J14" s="106">
        <v>0</v>
      </c>
      <c r="K14" s="106">
        <v>0</v>
      </c>
      <c r="L14" s="106">
        <v>0</v>
      </c>
      <c r="M14" s="106">
        <v>0</v>
      </c>
      <c r="N14" s="106">
        <v>1</v>
      </c>
    </row>
    <row r="15" ht="15" spans="1:14">
      <c r="A15" s="1" t="s">
        <v>14</v>
      </c>
      <c r="B15" s="27">
        <v>14</v>
      </c>
      <c r="C15" s="68" t="s">
        <v>32</v>
      </c>
      <c r="D15" s="13">
        <v>45949</v>
      </c>
      <c r="E15" s="111">
        <v>45967</v>
      </c>
      <c r="F15" s="9" t="s">
        <v>16</v>
      </c>
      <c r="G15" s="27">
        <v>6</v>
      </c>
      <c r="H15" s="27">
        <v>5</v>
      </c>
      <c r="I15" s="27">
        <v>1</v>
      </c>
      <c r="J15" s="27">
        <v>0</v>
      </c>
      <c r="K15" s="27">
        <v>0</v>
      </c>
      <c r="L15" s="27">
        <v>0</v>
      </c>
      <c r="M15" s="27">
        <v>1</v>
      </c>
      <c r="N15" s="27">
        <v>0</v>
      </c>
    </row>
    <row r="16" ht="15" spans="1:14">
      <c r="A16" s="1" t="s">
        <v>14</v>
      </c>
      <c r="B16" s="112">
        <v>15</v>
      </c>
      <c r="C16" s="113" t="s">
        <v>33</v>
      </c>
      <c r="D16" s="22">
        <v>45947</v>
      </c>
      <c r="E16" s="114">
        <v>45989</v>
      </c>
      <c r="F16" s="72" t="s">
        <v>23</v>
      </c>
      <c r="G16" s="112">
        <v>28</v>
      </c>
      <c r="H16" s="112">
        <v>27</v>
      </c>
      <c r="I16" s="112">
        <v>1</v>
      </c>
      <c r="J16" s="112">
        <v>0</v>
      </c>
      <c r="K16" s="112">
        <v>0</v>
      </c>
      <c r="L16" s="112">
        <v>0</v>
      </c>
      <c r="M16" s="112">
        <v>0</v>
      </c>
      <c r="N16" s="112">
        <v>1</v>
      </c>
    </row>
    <row r="17" spans="1:14">
      <c r="A17" s="1" t="s">
        <v>14</v>
      </c>
      <c r="B17" s="115">
        <v>16</v>
      </c>
      <c r="C17" s="116" t="s">
        <v>34</v>
      </c>
      <c r="D17" s="117">
        <v>45969</v>
      </c>
      <c r="E17" s="118">
        <v>45969</v>
      </c>
      <c r="F17" s="102" t="s">
        <v>20</v>
      </c>
      <c r="G17" s="119">
        <v>1</v>
      </c>
      <c r="H17" s="119">
        <v>1</v>
      </c>
      <c r="I17" s="119">
        <v>1</v>
      </c>
      <c r="J17" s="119">
        <v>1</v>
      </c>
      <c r="K17" s="119">
        <v>0</v>
      </c>
      <c r="L17" s="119">
        <v>1</v>
      </c>
      <c r="M17" s="119">
        <v>1</v>
      </c>
      <c r="N17" s="119">
        <v>0</v>
      </c>
    </row>
    <row r="18" spans="1:14">
      <c r="A18" s="1" t="s">
        <v>14</v>
      </c>
      <c r="B18" s="120">
        <v>17</v>
      </c>
      <c r="C18" s="92" t="s">
        <v>22</v>
      </c>
      <c r="D18" s="121">
        <v>45971</v>
      </c>
      <c r="E18" s="122">
        <v>45979</v>
      </c>
      <c r="F18" s="75" t="s">
        <v>26</v>
      </c>
      <c r="G18" s="123">
        <v>9</v>
      </c>
      <c r="H18" s="123">
        <v>8</v>
      </c>
      <c r="I18" s="123">
        <v>1</v>
      </c>
      <c r="J18" s="123">
        <v>0</v>
      </c>
      <c r="K18" s="123">
        <v>0</v>
      </c>
      <c r="L18" s="123">
        <v>0</v>
      </c>
      <c r="M18" s="123">
        <v>1</v>
      </c>
      <c r="N18" s="123">
        <v>0</v>
      </c>
    </row>
    <row r="19" spans="1:14">
      <c r="A19" s="1" t="s">
        <v>14</v>
      </c>
      <c r="B19" s="120">
        <v>18</v>
      </c>
      <c r="C19" s="124" t="s">
        <v>35</v>
      </c>
      <c r="D19" s="121">
        <v>45961</v>
      </c>
      <c r="E19" s="122">
        <v>45970</v>
      </c>
      <c r="F19" s="75" t="s">
        <v>26</v>
      </c>
      <c r="G19" s="123">
        <v>9</v>
      </c>
      <c r="H19" s="123">
        <v>8</v>
      </c>
      <c r="I19" s="123">
        <v>1</v>
      </c>
      <c r="J19" s="123">
        <v>0</v>
      </c>
      <c r="K19" s="123">
        <v>0</v>
      </c>
      <c r="L19" s="123">
        <v>0</v>
      </c>
      <c r="M19" s="123">
        <v>1</v>
      </c>
      <c r="N19" s="123">
        <v>0</v>
      </c>
    </row>
    <row r="20" ht="15" spans="1:14">
      <c r="A20" s="1" t="s">
        <v>14</v>
      </c>
      <c r="B20" s="125">
        <v>19</v>
      </c>
      <c r="C20" s="113" t="s">
        <v>36</v>
      </c>
      <c r="D20" s="126">
        <v>45969</v>
      </c>
      <c r="E20" s="127">
        <v>45979</v>
      </c>
      <c r="F20" s="72" t="s">
        <v>23</v>
      </c>
      <c r="G20" s="128">
        <v>11</v>
      </c>
      <c r="H20" s="128">
        <v>10</v>
      </c>
      <c r="I20" s="128">
        <v>1</v>
      </c>
      <c r="J20" s="128">
        <v>0</v>
      </c>
      <c r="K20" s="128">
        <v>0</v>
      </c>
      <c r="L20" s="128">
        <v>0</v>
      </c>
      <c r="M20" s="128">
        <v>0</v>
      </c>
      <c r="N20" s="128">
        <v>1</v>
      </c>
    </row>
    <row r="21" spans="1:14">
      <c r="A21" s="1" t="s">
        <v>14</v>
      </c>
      <c r="B21" s="129">
        <v>20</v>
      </c>
      <c r="C21" s="130" t="s">
        <v>37</v>
      </c>
      <c r="D21" s="131">
        <v>45964</v>
      </c>
      <c r="E21" s="132">
        <v>45985</v>
      </c>
      <c r="F21" s="133" t="s">
        <v>38</v>
      </c>
      <c r="G21" s="134">
        <v>22</v>
      </c>
      <c r="H21" s="134">
        <v>21</v>
      </c>
      <c r="I21" s="134">
        <v>1</v>
      </c>
      <c r="J21" s="134">
        <v>0</v>
      </c>
      <c r="K21" s="134">
        <v>0</v>
      </c>
      <c r="L21" s="134">
        <v>0</v>
      </c>
      <c r="M21" s="134">
        <v>1</v>
      </c>
      <c r="N21" s="134">
        <v>0</v>
      </c>
    </row>
    <row r="22" spans="1:14">
      <c r="A22" s="1" t="s">
        <v>14</v>
      </c>
      <c r="B22" s="135">
        <v>21</v>
      </c>
      <c r="C22" s="82" t="s">
        <v>39</v>
      </c>
      <c r="D22" s="136">
        <v>45966</v>
      </c>
      <c r="E22" s="137"/>
      <c r="F22" s="24"/>
      <c r="G22" s="24">
        <v>26</v>
      </c>
      <c r="H22" s="24">
        <v>26</v>
      </c>
      <c r="I22" s="24"/>
      <c r="J22" s="24"/>
      <c r="K22" s="24"/>
      <c r="L22" s="24"/>
      <c r="M22" s="24">
        <v>0</v>
      </c>
      <c r="N22" s="24">
        <v>1</v>
      </c>
    </row>
    <row r="23" spans="1:14">
      <c r="A23" s="1" t="s">
        <v>14</v>
      </c>
      <c r="B23" s="135">
        <v>22</v>
      </c>
      <c r="C23" s="82" t="s">
        <v>40</v>
      </c>
      <c r="D23" s="136">
        <v>45967</v>
      </c>
      <c r="E23" s="137"/>
      <c r="F23" s="24"/>
      <c r="G23" s="24">
        <v>25</v>
      </c>
      <c r="H23" s="24">
        <v>25</v>
      </c>
      <c r="I23" s="24"/>
      <c r="J23" s="24"/>
      <c r="K23" s="24"/>
      <c r="L23" s="24"/>
      <c r="M23" s="24">
        <v>0</v>
      </c>
      <c r="N23" s="24">
        <v>1</v>
      </c>
    </row>
    <row r="24" ht="15" spans="1:14">
      <c r="A24" s="1" t="s">
        <v>14</v>
      </c>
      <c r="B24" s="138">
        <v>23</v>
      </c>
      <c r="C24" s="113" t="s">
        <v>41</v>
      </c>
      <c r="D24" s="139">
        <v>45967</v>
      </c>
      <c r="E24" s="140">
        <v>45984</v>
      </c>
      <c r="F24" s="141" t="s">
        <v>23</v>
      </c>
      <c r="G24" s="142">
        <v>18</v>
      </c>
      <c r="H24" s="142">
        <v>17</v>
      </c>
      <c r="I24" s="142">
        <v>1</v>
      </c>
      <c r="J24" s="142">
        <v>0</v>
      </c>
      <c r="K24" s="142">
        <v>0</v>
      </c>
      <c r="L24" s="142">
        <v>0</v>
      </c>
      <c r="M24" s="142">
        <v>0</v>
      </c>
      <c r="N24" s="142">
        <v>1</v>
      </c>
    </row>
    <row r="25" spans="1:14">
      <c r="A25" s="1" t="s">
        <v>14</v>
      </c>
      <c r="B25" s="143">
        <v>24</v>
      </c>
      <c r="C25" s="7" t="s">
        <v>42</v>
      </c>
      <c r="D25" s="144">
        <v>45969</v>
      </c>
      <c r="E25" s="145">
        <v>45981</v>
      </c>
      <c r="F25" s="9" t="s">
        <v>16</v>
      </c>
      <c r="G25" s="18">
        <v>13</v>
      </c>
      <c r="H25" s="18">
        <v>12</v>
      </c>
      <c r="I25" s="18">
        <v>1</v>
      </c>
      <c r="J25" s="18">
        <v>0</v>
      </c>
      <c r="K25" s="18">
        <v>0</v>
      </c>
      <c r="L25" s="18">
        <v>0</v>
      </c>
      <c r="M25" s="18">
        <v>0</v>
      </c>
      <c r="N25" s="18">
        <v>1</v>
      </c>
    </row>
    <row r="26" spans="1:14">
      <c r="A26" s="1" t="s">
        <v>14</v>
      </c>
      <c r="B26" s="129">
        <v>25</v>
      </c>
      <c r="C26" s="130" t="s">
        <v>43</v>
      </c>
      <c r="D26" s="131">
        <v>45969</v>
      </c>
      <c r="E26" s="132">
        <v>45985</v>
      </c>
      <c r="F26" s="133" t="s">
        <v>38</v>
      </c>
      <c r="G26" s="134">
        <v>17</v>
      </c>
      <c r="H26" s="134">
        <v>16</v>
      </c>
      <c r="I26" s="134">
        <v>1</v>
      </c>
      <c r="J26" s="134">
        <v>0</v>
      </c>
      <c r="K26" s="134">
        <v>0</v>
      </c>
      <c r="L26" s="134">
        <v>0</v>
      </c>
      <c r="M26" s="134">
        <v>1</v>
      </c>
      <c r="N26" s="134">
        <v>0</v>
      </c>
    </row>
    <row r="27" spans="1:14">
      <c r="A27" s="1" t="s">
        <v>14</v>
      </c>
      <c r="B27" s="135">
        <v>26</v>
      </c>
      <c r="C27" s="82" t="s">
        <v>44</v>
      </c>
      <c r="D27" s="136">
        <v>45962</v>
      </c>
      <c r="E27" s="137"/>
      <c r="F27" s="24"/>
      <c r="G27" s="24">
        <v>30</v>
      </c>
      <c r="H27" s="24">
        <v>30</v>
      </c>
      <c r="I27" s="24"/>
      <c r="J27" s="24"/>
      <c r="K27" s="24"/>
      <c r="L27" s="24"/>
      <c r="M27" s="24">
        <v>0</v>
      </c>
      <c r="N27" s="24">
        <v>1</v>
      </c>
    </row>
    <row r="28" spans="1:14">
      <c r="A28" s="1" t="s">
        <v>14</v>
      </c>
      <c r="B28" s="135">
        <v>27</v>
      </c>
      <c r="C28" s="82" t="s">
        <v>45</v>
      </c>
      <c r="D28" s="136">
        <v>45975</v>
      </c>
      <c r="E28" s="137"/>
      <c r="F28" s="24"/>
      <c r="G28" s="24">
        <v>17</v>
      </c>
      <c r="H28" s="24">
        <v>17</v>
      </c>
      <c r="I28" s="24"/>
      <c r="J28" s="24"/>
      <c r="K28" s="24"/>
      <c r="L28" s="24"/>
      <c r="M28" s="24">
        <v>1</v>
      </c>
      <c r="N28" s="24">
        <v>0</v>
      </c>
    </row>
    <row r="29" spans="1:14">
      <c r="A29" s="1" t="s">
        <v>14</v>
      </c>
      <c r="B29" s="79">
        <v>28</v>
      </c>
      <c r="C29" s="7" t="s">
        <v>46</v>
      </c>
      <c r="D29" s="8">
        <v>45978</v>
      </c>
      <c r="E29" s="146">
        <v>45985</v>
      </c>
      <c r="F29" s="9" t="s">
        <v>16</v>
      </c>
      <c r="G29" s="6">
        <v>8</v>
      </c>
      <c r="H29" s="6">
        <v>7</v>
      </c>
      <c r="I29" s="6">
        <v>1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</row>
    <row r="30" spans="1:14">
      <c r="A30" s="1" t="s">
        <v>14</v>
      </c>
      <c r="B30" s="120">
        <v>29</v>
      </c>
      <c r="C30" s="107" t="s">
        <v>47</v>
      </c>
      <c r="D30" s="121">
        <v>45976</v>
      </c>
      <c r="E30" s="122">
        <v>45991</v>
      </c>
      <c r="F30" s="75" t="s">
        <v>26</v>
      </c>
      <c r="G30" s="123">
        <v>16</v>
      </c>
      <c r="H30" s="123">
        <v>15</v>
      </c>
      <c r="I30" s="123">
        <v>1</v>
      </c>
      <c r="J30" s="123">
        <v>0</v>
      </c>
      <c r="K30" s="123">
        <v>0</v>
      </c>
      <c r="L30" s="123">
        <v>0</v>
      </c>
      <c r="M30" s="123">
        <v>1</v>
      </c>
      <c r="N30" s="123">
        <v>0</v>
      </c>
    </row>
    <row r="31" spans="1:14">
      <c r="A31" s="1" t="s">
        <v>14</v>
      </c>
      <c r="B31" s="135">
        <v>30</v>
      </c>
      <c r="C31" s="82" t="s">
        <v>48</v>
      </c>
      <c r="D31" s="136">
        <v>45980</v>
      </c>
      <c r="E31" s="137"/>
      <c r="F31" s="24"/>
      <c r="G31" s="24">
        <v>12</v>
      </c>
      <c r="H31" s="24">
        <v>12</v>
      </c>
      <c r="I31" s="24"/>
      <c r="J31" s="24"/>
      <c r="K31" s="24"/>
      <c r="L31" s="24"/>
      <c r="M31" s="24">
        <v>1</v>
      </c>
      <c r="N31" s="24">
        <v>0</v>
      </c>
    </row>
    <row r="32" spans="1:14">
      <c r="A32" s="1" t="s">
        <v>14</v>
      </c>
      <c r="B32" s="135">
        <v>31</v>
      </c>
      <c r="C32" s="82" t="s">
        <v>49</v>
      </c>
      <c r="D32" s="136">
        <v>45979</v>
      </c>
      <c r="E32" s="137"/>
      <c r="F32" s="24"/>
      <c r="G32" s="24">
        <v>13</v>
      </c>
      <c r="H32" s="24">
        <v>13</v>
      </c>
      <c r="I32" s="24"/>
      <c r="J32" s="24"/>
      <c r="K32" s="24"/>
      <c r="L32" s="24"/>
      <c r="M32" s="24">
        <v>1</v>
      </c>
      <c r="N32" s="24">
        <v>0</v>
      </c>
    </row>
    <row r="33" ht="15" spans="1:14">
      <c r="A33" s="1" t="s">
        <v>14</v>
      </c>
      <c r="B33" s="25">
        <v>32</v>
      </c>
      <c r="C33" s="82" t="s">
        <v>50</v>
      </c>
      <c r="D33" s="136">
        <v>45979</v>
      </c>
      <c r="E33" s="147"/>
      <c r="F33" s="29"/>
      <c r="G33" s="29">
        <v>13</v>
      </c>
      <c r="H33" s="29">
        <v>13</v>
      </c>
      <c r="I33" s="29"/>
      <c r="J33" s="29"/>
      <c r="K33" s="29"/>
      <c r="L33" s="29"/>
      <c r="M33" s="29">
        <v>0</v>
      </c>
      <c r="N33" s="29">
        <v>1</v>
      </c>
    </row>
    <row r="34" ht="15" spans="1:14">
      <c r="A34" s="1" t="s">
        <v>14</v>
      </c>
      <c r="B34" s="25">
        <v>33</v>
      </c>
      <c r="C34" s="82" t="s">
        <v>51</v>
      </c>
      <c r="D34" s="136">
        <v>45985</v>
      </c>
      <c r="E34" s="147"/>
      <c r="F34" s="29"/>
      <c r="G34" s="29">
        <v>7</v>
      </c>
      <c r="H34" s="29">
        <v>7</v>
      </c>
      <c r="I34" s="29"/>
      <c r="J34" s="29"/>
      <c r="K34" s="29"/>
      <c r="L34" s="29"/>
      <c r="M34" s="29">
        <v>1</v>
      </c>
      <c r="N34" s="29">
        <v>0</v>
      </c>
    </row>
    <row r="35" ht="15" spans="1:14">
      <c r="A35" s="1" t="s">
        <v>14</v>
      </c>
      <c r="B35" s="25">
        <v>34</v>
      </c>
      <c r="C35" s="82" t="s">
        <v>52</v>
      </c>
      <c r="D35" s="136">
        <v>45985</v>
      </c>
      <c r="E35" s="147"/>
      <c r="F35" s="29"/>
      <c r="G35" s="29">
        <v>7</v>
      </c>
      <c r="H35" s="29">
        <v>7</v>
      </c>
      <c r="I35" s="29"/>
      <c r="J35" s="29"/>
      <c r="K35" s="29"/>
      <c r="L35" s="29"/>
      <c r="M35" s="29">
        <v>0</v>
      </c>
      <c r="N35" s="29">
        <v>1</v>
      </c>
    </row>
    <row r="36" ht="15" spans="1:14">
      <c r="A36" s="1" t="s">
        <v>14</v>
      </c>
      <c r="B36" s="25">
        <v>35</v>
      </c>
      <c r="C36" s="82" t="s">
        <v>53</v>
      </c>
      <c r="D36" s="136">
        <v>45985</v>
      </c>
      <c r="E36" s="147"/>
      <c r="F36" s="29"/>
      <c r="G36" s="29">
        <v>7</v>
      </c>
      <c r="H36" s="29">
        <v>7</v>
      </c>
      <c r="I36" s="29"/>
      <c r="J36" s="29"/>
      <c r="K36" s="29"/>
      <c r="L36" s="29"/>
      <c r="M36" s="29">
        <v>1</v>
      </c>
      <c r="N36" s="29">
        <v>0</v>
      </c>
    </row>
    <row r="37" ht="15" spans="1:14">
      <c r="A37" s="1" t="s">
        <v>14</v>
      </c>
      <c r="B37" s="25">
        <v>36</v>
      </c>
      <c r="C37" s="82" t="s">
        <v>54</v>
      </c>
      <c r="D37" s="136">
        <v>45985</v>
      </c>
      <c r="E37" s="147"/>
      <c r="F37" s="29"/>
      <c r="G37" s="29">
        <v>7</v>
      </c>
      <c r="H37" s="29">
        <v>7</v>
      </c>
      <c r="I37" s="29"/>
      <c r="J37" s="29"/>
      <c r="K37" s="29"/>
      <c r="L37" s="29"/>
      <c r="M37" s="29">
        <v>0</v>
      </c>
      <c r="N37" s="29">
        <v>1</v>
      </c>
    </row>
    <row r="38" spans="1:14">
      <c r="A38" s="1" t="s">
        <v>14</v>
      </c>
      <c r="B38" s="25">
        <v>37</v>
      </c>
      <c r="C38" s="82" t="s">
        <v>41</v>
      </c>
      <c r="D38" s="136">
        <v>45990</v>
      </c>
      <c r="E38" s="137"/>
      <c r="F38" s="24"/>
      <c r="G38" s="24">
        <v>2</v>
      </c>
      <c r="H38" s="24">
        <v>2</v>
      </c>
      <c r="I38" s="24"/>
      <c r="J38" s="24"/>
      <c r="K38" s="24"/>
      <c r="L38" s="24"/>
      <c r="M38" s="24">
        <v>1</v>
      </c>
      <c r="N38" s="24">
        <v>0</v>
      </c>
    </row>
    <row r="39" spans="1:14">
      <c r="A39" s="1" t="s">
        <v>14</v>
      </c>
      <c r="B39" s="25">
        <v>38</v>
      </c>
      <c r="C39" s="82" t="s">
        <v>55</v>
      </c>
      <c r="D39" s="136">
        <v>45988</v>
      </c>
      <c r="E39" s="137"/>
      <c r="F39" s="24"/>
      <c r="G39" s="24">
        <v>4</v>
      </c>
      <c r="H39" s="24">
        <v>4</v>
      </c>
      <c r="I39" s="24"/>
      <c r="J39" s="24"/>
      <c r="K39" s="24"/>
      <c r="L39" s="24"/>
      <c r="M39" s="24">
        <v>1</v>
      </c>
      <c r="N39" s="24">
        <v>0</v>
      </c>
    </row>
    <row r="40" spans="1:14">
      <c r="A40" s="1" t="s">
        <v>14</v>
      </c>
      <c r="B40" s="25">
        <v>39</v>
      </c>
      <c r="C40" s="82" t="s">
        <v>56</v>
      </c>
      <c r="D40" s="136">
        <v>45990</v>
      </c>
      <c r="E40" s="137"/>
      <c r="F40" s="24"/>
      <c r="G40" s="24">
        <v>2</v>
      </c>
      <c r="H40" s="24">
        <v>2</v>
      </c>
      <c r="I40" s="24"/>
      <c r="J40" s="24"/>
      <c r="K40" s="24"/>
      <c r="L40" s="24"/>
      <c r="M40" s="24">
        <v>1</v>
      </c>
      <c r="N40" s="24">
        <v>0</v>
      </c>
    </row>
    <row r="41" spans="1:14">
      <c r="A41" s="1" t="s">
        <v>14</v>
      </c>
      <c r="B41" s="25">
        <v>40</v>
      </c>
      <c r="C41" s="82" t="s">
        <v>57</v>
      </c>
      <c r="D41" s="136">
        <v>45991</v>
      </c>
      <c r="E41" s="137"/>
      <c r="F41" s="24"/>
      <c r="G41" s="24">
        <v>1</v>
      </c>
      <c r="H41" s="24">
        <v>1</v>
      </c>
      <c r="I41" s="24"/>
      <c r="J41" s="24"/>
      <c r="K41" s="24"/>
      <c r="L41" s="24"/>
      <c r="M41" s="24">
        <v>0</v>
      </c>
      <c r="N41" s="24">
        <v>1</v>
      </c>
    </row>
    <row r="42" spans="1:14">
      <c r="A42" s="1" t="s">
        <v>58</v>
      </c>
      <c r="B42" s="33"/>
      <c r="C42" s="34"/>
      <c r="D42" s="148"/>
      <c r="E42" s="149"/>
      <c r="F42" s="36"/>
      <c r="G42" s="150">
        <v>536</v>
      </c>
      <c r="H42" s="38">
        <f>SUM(H2:H41)</f>
        <v>520</v>
      </c>
      <c r="I42" s="38">
        <v>22</v>
      </c>
      <c r="J42" s="38">
        <f t="shared" ref="J42:L42" si="0">SUM(J2:J21)</f>
        <v>4</v>
      </c>
      <c r="K42" s="38">
        <f t="shared" si="0"/>
        <v>3</v>
      </c>
      <c r="L42" s="38">
        <f t="shared" si="0"/>
        <v>1</v>
      </c>
      <c r="M42" s="38">
        <f>SUM(M2:M16)</f>
        <v>10</v>
      </c>
      <c r="N42" s="38">
        <f>SUM(N2:N16)</f>
        <v>5</v>
      </c>
    </row>
    <row r="47" ht="38.25" spans="1:14">
      <c r="A47" s="39"/>
      <c r="B47" s="40"/>
      <c r="C47" s="151"/>
      <c r="D47" s="42" t="s">
        <v>59</v>
      </c>
      <c r="E47" s="43" t="s">
        <v>60</v>
      </c>
      <c r="F47" s="42" t="s">
        <v>61</v>
      </c>
      <c r="G47" s="43" t="s">
        <v>62</v>
      </c>
      <c r="H47" s="43" t="s">
        <v>63</v>
      </c>
      <c r="I47" s="43" t="s">
        <v>64</v>
      </c>
      <c r="J47" s="43" t="s">
        <v>65</v>
      </c>
      <c r="K47" s="43" t="s">
        <v>66</v>
      </c>
      <c r="L47" s="42" t="s">
        <v>67</v>
      </c>
      <c r="M47" s="51" t="s">
        <v>68</v>
      </c>
      <c r="N47" s="42" t="s">
        <v>69</v>
      </c>
    </row>
    <row r="48" ht="15" spans="1:14">
      <c r="A48" s="39"/>
      <c r="B48" s="40"/>
      <c r="C48" s="44"/>
      <c r="D48" s="45">
        <v>18</v>
      </c>
      <c r="E48" s="45">
        <v>30</v>
      </c>
      <c r="F48" s="45">
        <v>540</v>
      </c>
      <c r="G48" s="46">
        <v>536</v>
      </c>
      <c r="H48" s="47">
        <f>SUM(G48/F48)</f>
        <v>0.992592592592593</v>
      </c>
      <c r="I48" s="52">
        <f>SUM(H42/I42)</f>
        <v>23.6363636363636</v>
      </c>
      <c r="J48" s="53">
        <v>0.128205128205128</v>
      </c>
      <c r="K48" s="53">
        <v>0.8</v>
      </c>
      <c r="L48" s="54">
        <v>0.2</v>
      </c>
      <c r="M48" s="55">
        <v>0.58974358974359</v>
      </c>
      <c r="N48" s="54">
        <v>0.41025641025641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K10" sqref="K10"/>
    </sheetView>
  </sheetViews>
  <sheetFormatPr defaultColWidth="9.14285714285714" defaultRowHeight="12.75"/>
  <cols>
    <col min="3" max="3" width="35.7142857142857" customWidth="1"/>
    <col min="4" max="4" width="13.8571428571429" customWidth="1"/>
    <col min="5" max="5" width="11.4285714285714" customWidth="1"/>
    <col min="6" max="6" width="11.2857142857143" customWidth="1"/>
  </cols>
  <sheetData>
    <row r="1" ht="25.5" spans="1:14">
      <c r="A1" s="1" t="s">
        <v>0</v>
      </c>
      <c r="B1" s="2" t="s">
        <v>1</v>
      </c>
      <c r="C1" s="3" t="s">
        <v>2</v>
      </c>
      <c r="D1" s="4" t="s">
        <v>3</v>
      </c>
      <c r="E1" s="56" t="s">
        <v>4</v>
      </c>
      <c r="F1" s="1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48" t="s">
        <v>11</v>
      </c>
      <c r="M1" s="49" t="s">
        <v>12</v>
      </c>
      <c r="N1" s="48" t="s">
        <v>13</v>
      </c>
    </row>
    <row r="2" ht="15" spans="1:14">
      <c r="A2" s="1" t="s">
        <v>70</v>
      </c>
      <c r="B2" s="57">
        <v>1</v>
      </c>
      <c r="C2" s="7" t="s">
        <v>71</v>
      </c>
      <c r="D2" s="8">
        <v>45946</v>
      </c>
      <c r="E2" s="58">
        <v>45976</v>
      </c>
      <c r="F2" s="9" t="s">
        <v>16</v>
      </c>
      <c r="G2" s="10">
        <v>15</v>
      </c>
      <c r="H2" s="10">
        <v>14</v>
      </c>
      <c r="I2" s="10">
        <v>1</v>
      </c>
      <c r="J2" s="10">
        <v>0</v>
      </c>
      <c r="K2" s="10">
        <v>0</v>
      </c>
      <c r="L2" s="10">
        <v>0</v>
      </c>
      <c r="M2" s="10">
        <v>1</v>
      </c>
      <c r="N2" s="10">
        <v>0</v>
      </c>
    </row>
    <row r="3" spans="1:14">
      <c r="A3" s="1" t="s">
        <v>70</v>
      </c>
      <c r="B3" s="59">
        <v>2</v>
      </c>
      <c r="C3" s="7" t="s">
        <v>72</v>
      </c>
      <c r="D3" s="11">
        <v>45937</v>
      </c>
      <c r="E3" s="60">
        <v>45964</v>
      </c>
      <c r="F3" s="61" t="s">
        <v>16</v>
      </c>
      <c r="G3" s="6">
        <v>3</v>
      </c>
      <c r="H3" s="6">
        <v>2</v>
      </c>
      <c r="I3" s="6">
        <v>1</v>
      </c>
      <c r="J3" s="6">
        <v>0</v>
      </c>
      <c r="K3" s="6">
        <v>0</v>
      </c>
      <c r="L3" s="6">
        <v>0</v>
      </c>
      <c r="M3" s="6">
        <v>1</v>
      </c>
      <c r="N3" s="6">
        <v>0</v>
      </c>
    </row>
    <row r="4" ht="15" spans="1:14">
      <c r="A4" s="1" t="s">
        <v>70</v>
      </c>
      <c r="B4" s="57">
        <v>3</v>
      </c>
      <c r="C4" s="62" t="s">
        <v>73</v>
      </c>
      <c r="D4" s="13">
        <v>45952</v>
      </c>
      <c r="E4" s="63">
        <v>45976</v>
      </c>
      <c r="F4" s="9" t="s">
        <v>16</v>
      </c>
      <c r="G4" s="27">
        <v>15</v>
      </c>
      <c r="H4" s="27">
        <v>14</v>
      </c>
      <c r="I4" s="27">
        <v>1</v>
      </c>
      <c r="J4" s="27">
        <v>0</v>
      </c>
      <c r="K4" s="27">
        <v>0</v>
      </c>
      <c r="L4" s="27">
        <v>0</v>
      </c>
      <c r="M4" s="27">
        <v>0</v>
      </c>
      <c r="N4" s="27">
        <v>1</v>
      </c>
    </row>
    <row r="5" spans="1:14">
      <c r="A5" s="1" t="s">
        <v>70</v>
      </c>
      <c r="B5" s="64">
        <v>4</v>
      </c>
      <c r="C5" s="12" t="s">
        <v>74</v>
      </c>
      <c r="D5" s="16">
        <v>45949</v>
      </c>
      <c r="E5" s="65">
        <v>45967</v>
      </c>
      <c r="F5" s="66" t="s">
        <v>16</v>
      </c>
      <c r="G5" s="6">
        <v>6</v>
      </c>
      <c r="H5" s="6">
        <v>5</v>
      </c>
      <c r="I5" s="6">
        <v>1</v>
      </c>
      <c r="J5" s="6">
        <v>0</v>
      </c>
      <c r="K5" s="6">
        <v>0</v>
      </c>
      <c r="L5" s="6">
        <v>0</v>
      </c>
      <c r="M5" s="6">
        <v>0</v>
      </c>
      <c r="N5" s="6">
        <v>1</v>
      </c>
    </row>
    <row r="6" spans="1:14">
      <c r="A6" s="1" t="s">
        <v>70</v>
      </c>
      <c r="B6" s="67">
        <v>5</v>
      </c>
      <c r="C6" s="68" t="s">
        <v>30</v>
      </c>
      <c r="D6" s="11">
        <v>45967</v>
      </c>
      <c r="E6" s="69">
        <v>45979</v>
      </c>
      <c r="F6" s="70" t="s">
        <v>16</v>
      </c>
      <c r="G6" s="18">
        <v>13</v>
      </c>
      <c r="H6" s="18">
        <v>12</v>
      </c>
      <c r="I6" s="18">
        <v>1</v>
      </c>
      <c r="J6" s="18">
        <v>0</v>
      </c>
      <c r="K6" s="18">
        <v>0</v>
      </c>
      <c r="L6" s="18">
        <v>0</v>
      </c>
      <c r="M6" s="18">
        <v>1</v>
      </c>
      <c r="N6" s="18">
        <v>0</v>
      </c>
    </row>
    <row r="7" ht="15" spans="1:14">
      <c r="A7" s="1" t="s">
        <v>70</v>
      </c>
      <c r="B7" s="26">
        <v>6</v>
      </c>
      <c r="C7" s="25" t="s">
        <v>35</v>
      </c>
      <c r="D7" s="22">
        <v>45970</v>
      </c>
      <c r="E7" s="71"/>
      <c r="F7" s="72"/>
      <c r="G7" s="24">
        <v>22</v>
      </c>
      <c r="H7" s="24">
        <v>22</v>
      </c>
      <c r="I7" s="24"/>
      <c r="J7" s="24"/>
      <c r="K7" s="24"/>
      <c r="L7" s="24"/>
      <c r="M7" s="24">
        <v>1</v>
      </c>
      <c r="N7" s="24">
        <v>0</v>
      </c>
    </row>
    <row r="8" spans="1:14">
      <c r="A8" s="1" t="s">
        <v>70</v>
      </c>
      <c r="B8" s="67">
        <v>7</v>
      </c>
      <c r="C8" s="7" t="s">
        <v>31</v>
      </c>
      <c r="D8" s="11">
        <v>45977</v>
      </c>
      <c r="E8" s="69">
        <v>45980</v>
      </c>
      <c r="F8" s="70" t="s">
        <v>16</v>
      </c>
      <c r="G8" s="18">
        <v>4</v>
      </c>
      <c r="H8" s="18">
        <v>3</v>
      </c>
      <c r="I8" s="18">
        <v>1</v>
      </c>
      <c r="J8" s="18">
        <v>0</v>
      </c>
      <c r="K8" s="18">
        <v>0</v>
      </c>
      <c r="L8" s="18">
        <v>0</v>
      </c>
      <c r="M8" s="18">
        <v>0</v>
      </c>
      <c r="N8" s="18">
        <v>1</v>
      </c>
    </row>
    <row r="9" spans="1:14">
      <c r="A9" s="1" t="s">
        <v>70</v>
      </c>
      <c r="B9" s="26">
        <v>8</v>
      </c>
      <c r="C9" s="73" t="s">
        <v>25</v>
      </c>
      <c r="D9" s="28">
        <v>45980</v>
      </c>
      <c r="E9" s="74"/>
      <c r="F9" s="75"/>
      <c r="G9" s="24">
        <v>12</v>
      </c>
      <c r="H9" s="24">
        <v>12</v>
      </c>
      <c r="I9" s="24"/>
      <c r="J9" s="24"/>
      <c r="K9" s="24"/>
      <c r="L9" s="24"/>
      <c r="M9" s="24">
        <v>1</v>
      </c>
      <c r="N9" s="24">
        <v>0</v>
      </c>
    </row>
    <row r="10" ht="15" spans="1:14">
      <c r="A10" s="1" t="s">
        <v>70</v>
      </c>
      <c r="B10" s="26">
        <v>9</v>
      </c>
      <c r="C10" s="73" t="s">
        <v>22</v>
      </c>
      <c r="D10" s="22">
        <v>45979</v>
      </c>
      <c r="E10" s="71"/>
      <c r="F10" s="72"/>
      <c r="G10" s="24">
        <v>13</v>
      </c>
      <c r="H10" s="24">
        <v>13</v>
      </c>
      <c r="I10" s="24"/>
      <c r="J10" s="24"/>
      <c r="K10" s="24"/>
      <c r="L10" s="24"/>
      <c r="M10" s="24">
        <v>1</v>
      </c>
      <c r="N10" s="24">
        <v>0</v>
      </c>
    </row>
    <row r="11" ht="15" spans="1:14">
      <c r="A11" s="1" t="s">
        <v>70</v>
      </c>
      <c r="B11" s="26">
        <v>10</v>
      </c>
      <c r="C11" s="30" t="s">
        <v>47</v>
      </c>
      <c r="D11" s="31">
        <v>45991</v>
      </c>
      <c r="E11" s="76"/>
      <c r="F11" s="66"/>
      <c r="G11" s="24">
        <v>1</v>
      </c>
      <c r="H11" s="24">
        <v>1</v>
      </c>
      <c r="I11" s="24"/>
      <c r="J11" s="24"/>
      <c r="K11" s="24"/>
      <c r="L11" s="24"/>
      <c r="M11" s="24">
        <v>1</v>
      </c>
      <c r="N11" s="24">
        <v>0</v>
      </c>
    </row>
    <row r="12" spans="1:14">
      <c r="A12" s="1" t="s">
        <v>58</v>
      </c>
      <c r="B12" s="33"/>
      <c r="C12" s="34"/>
      <c r="D12" s="4"/>
      <c r="E12" s="34"/>
      <c r="F12" s="36"/>
      <c r="G12" s="37">
        <f>SUM(G2:G11)</f>
        <v>104</v>
      </c>
      <c r="H12" s="38">
        <f>SUM(H2:H11)</f>
        <v>98</v>
      </c>
      <c r="I12" s="38">
        <f>SUM(I2:I6)</f>
        <v>5</v>
      </c>
      <c r="J12" s="50">
        <v>0</v>
      </c>
      <c r="K12" s="50">
        <v>0</v>
      </c>
      <c r="L12" s="50">
        <v>0</v>
      </c>
      <c r="M12" s="38">
        <f>SUM(M2:M11)</f>
        <v>7</v>
      </c>
      <c r="N12" s="38">
        <f>SUM(N2:N11)</f>
        <v>3</v>
      </c>
    </row>
    <row r="15" ht="38.25" spans="1:14">
      <c r="A15" s="39"/>
      <c r="B15" s="40"/>
      <c r="C15" s="41"/>
      <c r="D15" s="42" t="s">
        <v>59</v>
      </c>
      <c r="E15" s="43" t="s">
        <v>60</v>
      </c>
      <c r="F15" s="42" t="s">
        <v>61</v>
      </c>
      <c r="G15" s="43" t="s">
        <v>62</v>
      </c>
      <c r="H15" s="43" t="s">
        <v>63</v>
      </c>
      <c r="I15" s="43" t="s">
        <v>64</v>
      </c>
      <c r="J15" s="43" t="s">
        <v>65</v>
      </c>
      <c r="K15" s="43" t="s">
        <v>66</v>
      </c>
      <c r="L15" s="42" t="s">
        <v>67</v>
      </c>
      <c r="M15" s="51" t="s">
        <v>68</v>
      </c>
      <c r="N15" s="42" t="s">
        <v>69</v>
      </c>
    </row>
    <row r="16" ht="15" spans="1:14">
      <c r="A16" s="39"/>
      <c r="B16" s="40"/>
      <c r="C16" s="44"/>
      <c r="D16" s="45">
        <v>4</v>
      </c>
      <c r="E16" s="45">
        <v>30</v>
      </c>
      <c r="F16" s="45">
        <v>120</v>
      </c>
      <c r="G16" s="46">
        <v>104</v>
      </c>
      <c r="H16" s="47">
        <f>SUM(G16/F16)</f>
        <v>0.866666666666667</v>
      </c>
      <c r="I16" s="52">
        <f>H12/I12</f>
        <v>19.6</v>
      </c>
      <c r="J16" s="53">
        <v>0</v>
      </c>
      <c r="K16" s="53">
        <v>0</v>
      </c>
      <c r="L16" s="53">
        <v>0</v>
      </c>
      <c r="M16" s="55">
        <v>0.588235294117647</v>
      </c>
      <c r="N16" s="54">
        <v>0.411764705882353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E1" sqref="E1:E11"/>
    </sheetView>
  </sheetViews>
  <sheetFormatPr defaultColWidth="9.14285714285714" defaultRowHeight="12.75"/>
  <cols>
    <col min="3" max="3" width="37.2857142857143" customWidth="1"/>
    <col min="4" max="4" width="13.8571428571429" customWidth="1"/>
    <col min="5" max="5" width="11.4285714285714" customWidth="1"/>
    <col min="6" max="6" width="16.2857142857143" customWidth="1"/>
  </cols>
  <sheetData>
    <row r="1" ht="25.5" spans="1:1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48" t="s">
        <v>11</v>
      </c>
      <c r="M1" s="49" t="s">
        <v>12</v>
      </c>
      <c r="N1" s="48" t="s">
        <v>13</v>
      </c>
    </row>
    <row r="2" spans="1:14">
      <c r="A2" s="1" t="s">
        <v>75</v>
      </c>
      <c r="B2" s="6">
        <v>1</v>
      </c>
      <c r="C2" s="7" t="s">
        <v>76</v>
      </c>
      <c r="D2" s="8">
        <v>45931</v>
      </c>
      <c r="E2" s="8">
        <v>45962</v>
      </c>
      <c r="F2" s="9" t="s">
        <v>16</v>
      </c>
      <c r="G2" s="6">
        <v>1</v>
      </c>
      <c r="H2" s="6">
        <v>0</v>
      </c>
      <c r="I2" s="6">
        <v>1</v>
      </c>
      <c r="J2" s="6">
        <v>0</v>
      </c>
      <c r="K2" s="6">
        <v>0</v>
      </c>
      <c r="L2" s="6">
        <v>0</v>
      </c>
      <c r="M2" s="6">
        <v>1</v>
      </c>
      <c r="N2" s="6">
        <v>0</v>
      </c>
    </row>
    <row r="3" spans="1:14">
      <c r="A3" s="1" t="s">
        <v>75</v>
      </c>
      <c r="B3" s="10">
        <v>2</v>
      </c>
      <c r="C3" s="7" t="s">
        <v>77</v>
      </c>
      <c r="D3" s="11">
        <v>45944</v>
      </c>
      <c r="E3" s="11">
        <v>45979</v>
      </c>
      <c r="F3" s="9" t="s">
        <v>16</v>
      </c>
      <c r="G3" s="10">
        <v>18</v>
      </c>
      <c r="H3" s="10">
        <v>17</v>
      </c>
      <c r="I3" s="10">
        <v>1</v>
      </c>
      <c r="J3" s="10">
        <v>0</v>
      </c>
      <c r="K3" s="10">
        <v>0</v>
      </c>
      <c r="L3" s="10">
        <v>0</v>
      </c>
      <c r="M3" s="10">
        <v>1</v>
      </c>
      <c r="N3" s="10">
        <v>0</v>
      </c>
    </row>
    <row r="4" spans="1:14">
      <c r="A4" s="1" t="s">
        <v>75</v>
      </c>
      <c r="B4" s="6">
        <v>3</v>
      </c>
      <c r="C4" s="12" t="s">
        <v>78</v>
      </c>
      <c r="D4" s="13">
        <v>45956</v>
      </c>
      <c r="E4" s="13">
        <v>45967</v>
      </c>
      <c r="F4" s="9" t="s">
        <v>16</v>
      </c>
      <c r="G4" s="6">
        <v>6</v>
      </c>
      <c r="H4" s="6">
        <v>5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1</v>
      </c>
    </row>
    <row r="5" ht="15" spans="1:14">
      <c r="A5" s="1" t="s">
        <v>75</v>
      </c>
      <c r="B5" s="14">
        <v>4</v>
      </c>
      <c r="C5" s="15" t="s">
        <v>22</v>
      </c>
      <c r="D5" s="16">
        <v>45969</v>
      </c>
      <c r="E5" s="16">
        <v>45971</v>
      </c>
      <c r="F5" s="17" t="s">
        <v>79</v>
      </c>
      <c r="G5" s="14">
        <v>3</v>
      </c>
      <c r="H5" s="14">
        <v>2</v>
      </c>
      <c r="I5" s="14">
        <v>1</v>
      </c>
      <c r="J5" s="14">
        <v>0</v>
      </c>
      <c r="K5" s="14">
        <v>0</v>
      </c>
      <c r="L5" s="14">
        <v>0</v>
      </c>
      <c r="M5" s="14">
        <v>1</v>
      </c>
      <c r="N5" s="14">
        <v>0</v>
      </c>
    </row>
    <row r="6" spans="1:14">
      <c r="A6" s="1" t="s">
        <v>75</v>
      </c>
      <c r="B6" s="18">
        <v>5</v>
      </c>
      <c r="C6" s="19" t="s">
        <v>27</v>
      </c>
      <c r="D6" s="11">
        <v>45965</v>
      </c>
      <c r="E6" s="11">
        <v>45972</v>
      </c>
      <c r="F6" s="9" t="s">
        <v>16</v>
      </c>
      <c r="G6" s="18">
        <v>8</v>
      </c>
      <c r="H6" s="18">
        <v>7</v>
      </c>
      <c r="I6" s="18">
        <v>1</v>
      </c>
      <c r="J6" s="18">
        <v>0</v>
      </c>
      <c r="K6" s="18">
        <v>0</v>
      </c>
      <c r="L6" s="18">
        <v>0</v>
      </c>
      <c r="M6" s="18">
        <v>1</v>
      </c>
      <c r="N6" s="18">
        <v>0</v>
      </c>
    </row>
    <row r="7" spans="1:14">
      <c r="A7" s="1" t="s">
        <v>75</v>
      </c>
      <c r="B7" s="20">
        <v>6</v>
      </c>
      <c r="C7" s="21" t="s">
        <v>80</v>
      </c>
      <c r="D7" s="22" t="s">
        <v>81</v>
      </c>
      <c r="E7" s="22"/>
      <c r="F7" s="23"/>
      <c r="G7" s="20">
        <v>8</v>
      </c>
      <c r="H7" s="20">
        <v>8</v>
      </c>
      <c r="I7" s="20"/>
      <c r="J7" s="20"/>
      <c r="K7" s="20"/>
      <c r="L7" s="20"/>
      <c r="M7" s="20">
        <v>0</v>
      </c>
      <c r="N7" s="20">
        <v>1</v>
      </c>
    </row>
    <row r="8" spans="1:14">
      <c r="A8" s="1" t="s">
        <v>75</v>
      </c>
      <c r="B8" s="24">
        <v>7</v>
      </c>
      <c r="C8" s="25" t="s">
        <v>82</v>
      </c>
      <c r="D8" s="11">
        <v>45977</v>
      </c>
      <c r="E8" s="11"/>
      <c r="F8" s="26"/>
      <c r="G8" s="24">
        <v>15</v>
      </c>
      <c r="H8" s="24">
        <v>15</v>
      </c>
      <c r="I8" s="24"/>
      <c r="J8" s="24"/>
      <c r="K8" s="24"/>
      <c r="L8" s="24"/>
      <c r="M8" s="24">
        <v>1</v>
      </c>
      <c r="N8" s="24">
        <v>0</v>
      </c>
    </row>
    <row r="9" ht="15" spans="1:14">
      <c r="A9" s="1" t="s">
        <v>75</v>
      </c>
      <c r="B9" s="27">
        <v>8</v>
      </c>
      <c r="C9" s="7" t="s">
        <v>36</v>
      </c>
      <c r="D9" s="28">
        <v>45979</v>
      </c>
      <c r="E9" s="28">
        <v>45988</v>
      </c>
      <c r="F9" s="9" t="s">
        <v>16</v>
      </c>
      <c r="G9" s="27">
        <v>10</v>
      </c>
      <c r="H9" s="27">
        <v>9</v>
      </c>
      <c r="I9" s="27">
        <v>1</v>
      </c>
      <c r="J9" s="27">
        <v>0</v>
      </c>
      <c r="K9" s="27">
        <v>0</v>
      </c>
      <c r="L9" s="27">
        <v>0</v>
      </c>
      <c r="M9" s="27">
        <v>0</v>
      </c>
      <c r="N9" s="27">
        <v>1</v>
      </c>
    </row>
    <row r="10" ht="15" spans="1:14">
      <c r="A10" s="1" t="s">
        <v>75</v>
      </c>
      <c r="B10" s="27">
        <v>9</v>
      </c>
      <c r="C10" s="7" t="s">
        <v>41</v>
      </c>
      <c r="D10" s="22">
        <v>45984</v>
      </c>
      <c r="E10" s="22">
        <v>45986</v>
      </c>
      <c r="F10" s="9" t="s">
        <v>16</v>
      </c>
      <c r="G10" s="27">
        <v>3</v>
      </c>
      <c r="H10" s="27">
        <v>2</v>
      </c>
      <c r="I10" s="27">
        <v>1</v>
      </c>
      <c r="J10" s="27">
        <v>0</v>
      </c>
      <c r="K10" s="27">
        <v>0</v>
      </c>
      <c r="L10" s="27">
        <v>0</v>
      </c>
      <c r="M10" s="27">
        <v>0</v>
      </c>
      <c r="N10" s="27">
        <v>1</v>
      </c>
    </row>
    <row r="11" ht="15" spans="1:14">
      <c r="A11" s="1" t="s">
        <v>75</v>
      </c>
      <c r="B11" s="29">
        <v>10</v>
      </c>
      <c r="C11" s="30" t="s">
        <v>33</v>
      </c>
      <c r="D11" s="31">
        <v>45989</v>
      </c>
      <c r="E11" s="31"/>
      <c r="F11" s="32"/>
      <c r="G11" s="29">
        <v>3</v>
      </c>
      <c r="H11" s="29">
        <v>3</v>
      </c>
      <c r="I11" s="29"/>
      <c r="J11" s="29"/>
      <c r="K11" s="29"/>
      <c r="L11" s="29"/>
      <c r="M11" s="29">
        <v>0</v>
      </c>
      <c r="N11" s="29">
        <v>1</v>
      </c>
    </row>
    <row r="12" spans="1:14">
      <c r="A12" s="1" t="s">
        <v>58</v>
      </c>
      <c r="B12" s="33"/>
      <c r="C12" s="34"/>
      <c r="D12" s="35"/>
      <c r="E12" s="34"/>
      <c r="F12" s="36"/>
      <c r="G12" s="37">
        <f>SUM(G2:G11)</f>
        <v>75</v>
      </c>
      <c r="H12" s="38">
        <f>SUM(H2:H11)</f>
        <v>68</v>
      </c>
      <c r="I12" s="38">
        <v>7</v>
      </c>
      <c r="J12" s="50">
        <v>0</v>
      </c>
      <c r="K12" s="50">
        <v>0</v>
      </c>
      <c r="L12" s="50">
        <v>0</v>
      </c>
      <c r="M12" s="50">
        <v>5</v>
      </c>
      <c r="N12" s="50">
        <v>5</v>
      </c>
    </row>
    <row r="15" ht="38.25" spans="1:14">
      <c r="A15" s="39"/>
      <c r="B15" s="40"/>
      <c r="C15" s="41"/>
      <c r="D15" s="42" t="s">
        <v>59</v>
      </c>
      <c r="E15" s="43" t="s">
        <v>60</v>
      </c>
      <c r="F15" s="42" t="s">
        <v>61</v>
      </c>
      <c r="G15" s="43" t="s">
        <v>62</v>
      </c>
      <c r="H15" s="43" t="s">
        <v>63</v>
      </c>
      <c r="I15" s="43" t="s">
        <v>64</v>
      </c>
      <c r="J15" s="43" t="s">
        <v>65</v>
      </c>
      <c r="K15" s="43" t="s">
        <v>66</v>
      </c>
      <c r="L15" s="42" t="s">
        <v>67</v>
      </c>
      <c r="M15" s="51" t="s">
        <v>68</v>
      </c>
      <c r="N15" s="42" t="s">
        <v>69</v>
      </c>
    </row>
    <row r="16" ht="15" spans="1:14">
      <c r="A16" s="39"/>
      <c r="B16" s="40"/>
      <c r="C16" s="44"/>
      <c r="D16" s="45">
        <v>3</v>
      </c>
      <c r="E16" s="45">
        <v>30</v>
      </c>
      <c r="F16" s="45">
        <v>90</v>
      </c>
      <c r="G16" s="46">
        <v>75</v>
      </c>
      <c r="H16" s="47">
        <f>G16/F16</f>
        <v>0.833333333333333</v>
      </c>
      <c r="I16" s="52">
        <f>H12/I12</f>
        <v>9.71428571428571</v>
      </c>
      <c r="J16" s="53">
        <v>0</v>
      </c>
      <c r="K16" s="53">
        <v>0</v>
      </c>
      <c r="L16" s="54">
        <v>0</v>
      </c>
      <c r="M16" s="55">
        <v>0.5</v>
      </c>
      <c r="N16" s="54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UTIN</vt:lpstr>
      <vt:lpstr>UCINCO</vt:lpstr>
      <vt:lpstr>UCINCA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Franck Moura</cp:lastModifiedBy>
  <dcterms:created xsi:type="dcterms:W3CDTF">2025-12-03T13:12:32Z</dcterms:created>
  <dcterms:modified xsi:type="dcterms:W3CDTF">2025-12-03T13:38:36Z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D1BBA23F2B374AB9987312BCE7A917BB_11</vt:lpwstr>
  </property>
  <property fmtid="{D5CDD505-2E9C-101B-9397-08002B2CF9AE}" pid="3" name="KSOProductBuildVer">
    <vt:lpwstr>1046-12.2.0.23155</vt:lpwstr>
  </property>
</Properties>
</file>