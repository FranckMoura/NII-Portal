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0" yWindow="0" windowWidth="28800" windowHeight="12300" tabRatio="598" firstSheet="1" activeTab="11"/>
  </bookViews>
  <sheets>
    <sheet name="DEZEMBRO 2024" sheetId="12" r:id="rId1"/>
    <sheet name="JANEIRO 2025" sheetId="13" r:id="rId2"/>
    <sheet name="FEV 2025" sheetId="14" r:id="rId3"/>
    <sheet name="MARÇO 2025" sheetId="15" r:id="rId4"/>
    <sheet name="ABRIL 2025" sheetId="16" r:id="rId5"/>
    <sheet name="MAIO 2025" sheetId="17" r:id="rId6"/>
    <sheet name="JUNHO 2025" sheetId="18" r:id="rId7"/>
    <sheet name="JULHO 2025" sheetId="19" r:id="rId8"/>
    <sheet name="AGOST 2025" sheetId="20" r:id="rId9"/>
    <sheet name="SETEM 2025" sheetId="21" r:id="rId10"/>
    <sheet name="OUT 2025" sheetId="22" r:id="rId11"/>
    <sheet name="NOV 2025" sheetId="23" r:id="rId12"/>
  </sheets>
  <definedNames>
    <definedName name="_xlnm._FilterDatabase" localSheetId="0" hidden="1">'DEZEMBRO 2024'!$A$2:$M$2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0" i="23"/>
  <c r="F80"/>
  <c r="M63"/>
  <c r="L63"/>
  <c r="H63"/>
  <c r="G63"/>
  <c r="F63"/>
  <c r="K45"/>
  <c r="J45"/>
  <c r="I45"/>
  <c r="H48"/>
  <c r="G45"/>
  <c r="G48" i="22"/>
  <c r="H51" s="1"/>
  <c r="F48"/>
  <c r="M45" i="23"/>
  <c r="L45"/>
  <c r="H83" i="22"/>
  <c r="G83"/>
  <c r="F83"/>
  <c r="H80"/>
  <c r="G80"/>
  <c r="F80"/>
  <c r="H71"/>
  <c r="G71"/>
  <c r="F71"/>
  <c r="M68"/>
  <c r="L68"/>
  <c r="H68"/>
  <c r="G68"/>
  <c r="F68"/>
  <c r="F51"/>
  <c r="G51" s="1"/>
  <c r="M48"/>
  <c r="L48"/>
  <c r="K48"/>
  <c r="J48"/>
  <c r="I48"/>
  <c r="H48"/>
  <c r="M88" i="21"/>
  <c r="L88"/>
  <c r="I88"/>
  <c r="H88"/>
  <c r="G88"/>
  <c r="M72"/>
  <c r="L72"/>
  <c r="J72"/>
  <c r="I72"/>
  <c r="H72"/>
  <c r="G72"/>
  <c r="M47"/>
  <c r="L47"/>
  <c r="K47"/>
  <c r="J47"/>
  <c r="I47"/>
  <c r="H47"/>
  <c r="G47"/>
  <c r="M98" i="20"/>
  <c r="L98"/>
  <c r="I98"/>
  <c r="H98"/>
  <c r="G98"/>
  <c r="M83"/>
  <c r="L83"/>
  <c r="J83"/>
  <c r="I83"/>
  <c r="H83"/>
  <c r="G83"/>
  <c r="M56"/>
  <c r="L56"/>
  <c r="K56"/>
  <c r="J56"/>
  <c r="I56"/>
  <c r="H56"/>
  <c r="G56"/>
  <c r="F56"/>
  <c r="M93" i="19"/>
  <c r="L93"/>
  <c r="K93"/>
  <c r="J93"/>
  <c r="I93"/>
  <c r="H93"/>
  <c r="G93"/>
  <c r="F93"/>
  <c r="M77"/>
  <c r="L77"/>
  <c r="K77"/>
  <c r="J77"/>
  <c r="I77"/>
  <c r="H77"/>
  <c r="G77"/>
  <c r="M54"/>
  <c r="L54"/>
  <c r="K54"/>
  <c r="J54"/>
  <c r="I54"/>
  <c r="H54"/>
  <c r="G54"/>
  <c r="F54"/>
  <c r="M83" i="18"/>
  <c r="L83"/>
  <c r="K83"/>
  <c r="J83"/>
  <c r="I83"/>
  <c r="H83"/>
  <c r="G83"/>
  <c r="F83"/>
  <c r="M67"/>
  <c r="L67"/>
  <c r="K67"/>
  <c r="J67"/>
  <c r="I67"/>
  <c r="H67"/>
  <c r="G67"/>
  <c r="M48"/>
  <c r="L48"/>
  <c r="K48"/>
  <c r="J48"/>
  <c r="I48"/>
  <c r="H48"/>
  <c r="G48"/>
  <c r="F48"/>
  <c r="M97" i="17"/>
  <c r="L97"/>
  <c r="K97"/>
  <c r="J97"/>
  <c r="I97"/>
  <c r="H97"/>
  <c r="G97"/>
  <c r="F97"/>
  <c r="M78"/>
  <c r="L78"/>
  <c r="K78"/>
  <c r="J78"/>
  <c r="I78"/>
  <c r="H78"/>
  <c r="G78"/>
  <c r="F78"/>
  <c r="M52"/>
  <c r="L52"/>
  <c r="K52"/>
  <c r="J52"/>
  <c r="I52"/>
  <c r="H52"/>
  <c r="G52"/>
  <c r="M49" i="16"/>
  <c r="L49"/>
  <c r="K49"/>
  <c r="J49"/>
  <c r="I49"/>
  <c r="H49"/>
  <c r="G49"/>
  <c r="F49"/>
  <c r="M49" i="15"/>
  <c r="L49"/>
  <c r="K49"/>
  <c r="J49"/>
  <c r="I49"/>
  <c r="H49"/>
  <c r="G49"/>
  <c r="F49"/>
  <c r="M46"/>
  <c r="L46"/>
  <c r="J46"/>
  <c r="I46"/>
  <c r="H46"/>
  <c r="G46"/>
  <c r="F46"/>
  <c r="M56" i="14"/>
  <c r="L56"/>
  <c r="K56"/>
  <c r="J56"/>
  <c r="I56"/>
  <c r="H56"/>
  <c r="G56"/>
  <c r="F56"/>
  <c r="M53"/>
  <c r="L53"/>
  <c r="J53"/>
  <c r="H53"/>
  <c r="G53"/>
  <c r="F53"/>
  <c r="M65" i="13"/>
  <c r="L65"/>
  <c r="K65"/>
  <c r="J65"/>
  <c r="I65"/>
  <c r="H65"/>
  <c r="G65"/>
  <c r="F65"/>
  <c r="M62"/>
  <c r="L62"/>
  <c r="K62"/>
  <c r="J62"/>
  <c r="I62"/>
  <c r="H62"/>
  <c r="G62"/>
  <c r="F62"/>
  <c r="M47" i="12"/>
  <c r="L47"/>
  <c r="K47"/>
  <c r="J47"/>
  <c r="I47"/>
  <c r="H47"/>
  <c r="G47"/>
  <c r="F47"/>
  <c r="M44"/>
  <c r="L44"/>
  <c r="K44"/>
  <c r="J44"/>
  <c r="I44"/>
  <c r="H44"/>
  <c r="G44"/>
  <c r="F44"/>
  <c r="H66" i="23" l="1"/>
  <c r="G48"/>
  <c r="H83"/>
  <c r="G66"/>
  <c r="G83"/>
</calcChain>
</file>

<file path=xl/sharedStrings.xml><?xml version="1.0" encoding="utf-8"?>
<sst xmlns="http://schemas.openxmlformats.org/spreadsheetml/2006/main" count="1995" uniqueCount="557">
  <si>
    <r>
      <rPr>
        <b/>
        <sz val="10"/>
        <color theme="1"/>
        <rFont val="Calibri"/>
        <charset val="134"/>
        <scheme val="minor"/>
      </rPr>
      <t>HOSPITAL SANTA HELENA - UTI NEONATAL - COMPETENCIA: DEZEMBRO  01</t>
    </r>
    <r>
      <rPr>
        <b/>
        <sz val="10"/>
        <color indexed="8"/>
        <rFont val="Calibri"/>
        <charset val="134"/>
      </rPr>
      <t>/12/2024  á 31/12/2024)</t>
    </r>
  </si>
  <si>
    <t>Nº</t>
  </si>
  <si>
    <t>Usuário</t>
  </si>
  <si>
    <t>Data/Admissão</t>
  </si>
  <si>
    <t>Data/saída</t>
  </si>
  <si>
    <t>Motivo da saída</t>
  </si>
  <si>
    <t>Taxa de
ocupação</t>
  </si>
  <si>
    <t>Diárias</t>
  </si>
  <si>
    <t>Saídas</t>
  </si>
  <si>
    <t>Óbitos</t>
  </si>
  <si>
    <t>Óbito &gt; 24H</t>
  </si>
  <si>
    <t>Óbito &lt;24H</t>
  </si>
  <si>
    <t>Capital</t>
  </si>
  <si>
    <t>Interior</t>
  </si>
  <si>
    <t>JOSE VALE DE ALMEIDA</t>
  </si>
  <si>
    <t>04.12.24</t>
  </si>
  <si>
    <t>19.12.24</t>
  </si>
  <si>
    <t>ÓBITO</t>
  </si>
  <si>
    <t>AGATHA ARAUJO DO NASCIMENTO</t>
  </si>
  <si>
    <t>06.09.24</t>
  </si>
  <si>
    <t>28.12.24</t>
  </si>
  <si>
    <t>TRANSFERÊNCIA</t>
  </si>
  <si>
    <t>MAITE VITÓRIA DO CARMO</t>
  </si>
  <si>
    <t>06.12.24</t>
  </si>
  <si>
    <t>MAVIE RADASSA L. CAVALCANTE</t>
  </si>
  <si>
    <t>EVAS ROJAS MORENO</t>
  </si>
  <si>
    <t>17.12.24</t>
  </si>
  <si>
    <t>LIAM RODRIGUES SILVA</t>
  </si>
  <si>
    <t>29.11.24</t>
  </si>
  <si>
    <t xml:space="preserve">TATIANI CARDOSO DO NASCIMENTO </t>
  </si>
  <si>
    <t>09.12.24</t>
  </si>
  <si>
    <t>DAVI LUIZ COSTA SANTOS</t>
  </si>
  <si>
    <t>11.12.24</t>
  </si>
  <si>
    <t>ALICE LOPES SILVA FRANZIN</t>
  </si>
  <si>
    <t>14.12.24</t>
  </si>
  <si>
    <t>30.12.24</t>
  </si>
  <si>
    <t>ALTA P/CASA</t>
  </si>
  <si>
    <t>JOAO FILIPE OLIVEIRA XAVIER</t>
  </si>
  <si>
    <t>27.12.24</t>
  </si>
  <si>
    <t>YAN ASAF GOMES</t>
  </si>
  <si>
    <t>27.11.24</t>
  </si>
  <si>
    <t>SAMUEL DAVI DE ALMEIDA</t>
  </si>
  <si>
    <t>16.12.24</t>
  </si>
  <si>
    <t>22.12.24</t>
  </si>
  <si>
    <t>ELOÁ VITORIA NUNES DA SILVA</t>
  </si>
  <si>
    <t>08.12.24</t>
  </si>
  <si>
    <t>SOFIA MARIANA LINO</t>
  </si>
  <si>
    <t>01.12.24</t>
  </si>
  <si>
    <t>31.12.24</t>
  </si>
  <si>
    <t>THEO HENRIQUE LOBO</t>
  </si>
  <si>
    <t>13.10.24</t>
  </si>
  <si>
    <t>ISAAC SAMUEL MORA</t>
  </si>
  <si>
    <t>20.12.24</t>
  </si>
  <si>
    <t>NATHAN FONSECA DE SOUZA</t>
  </si>
  <si>
    <t>03.10.24</t>
  </si>
  <si>
    <t xml:space="preserve"> </t>
  </si>
  <si>
    <t>RN SILBENE SILVA ARRUDA</t>
  </si>
  <si>
    <t>ALTA P/ ENFER</t>
  </si>
  <si>
    <t>MIGUEL VITALINO DA SILVA</t>
  </si>
  <si>
    <t>15.11.24</t>
  </si>
  <si>
    <t>VITORIA CRISTINA MORAES</t>
  </si>
  <si>
    <t>ALTA P/ LAR</t>
  </si>
  <si>
    <t>IRU YUKUKU WAURA</t>
  </si>
  <si>
    <t>AYLA SOPHIA DE ASSIS</t>
  </si>
  <si>
    <t xml:space="preserve">MARIA VITORIA S. GUIMARAES </t>
  </si>
  <si>
    <t>CLAUDECIR RIBEIRO DA SILVA</t>
  </si>
  <si>
    <t>02.11.24</t>
  </si>
  <si>
    <t>23.12.24</t>
  </si>
  <si>
    <t>ISIS ELLOA GONÇALVES DE JESUS</t>
  </si>
  <si>
    <t>18.11.24</t>
  </si>
  <si>
    <t>BRYAN MIGUEL S. DIAS</t>
  </si>
  <si>
    <t>AYLA VIANA FARIAS</t>
  </si>
  <si>
    <t>ELOA VALENTINA F. SOUZA</t>
  </si>
  <si>
    <t>LUCCA KEMUEL V. AVANCI</t>
  </si>
  <si>
    <t>21.12.24</t>
  </si>
  <si>
    <t>MAITE CASTRO S. SALVADOR</t>
  </si>
  <si>
    <t>ZAHIR ALEXANDER O. CHACÓN</t>
  </si>
  <si>
    <t xml:space="preserve">SOFIA MANUELY BENITES TOLEDO </t>
  </si>
  <si>
    <t>24.12.24</t>
  </si>
  <si>
    <t xml:space="preserve">RN DE ANA BARRETOS BARROS </t>
  </si>
  <si>
    <t>26.12.24</t>
  </si>
  <si>
    <t xml:space="preserve">EVASAO </t>
  </si>
  <si>
    <t xml:space="preserve">RN DE JENYFFER AUXILIADORA GONÇALVES </t>
  </si>
  <si>
    <t>LUCAS MIGUEL CAMPOS DE AMORIM</t>
  </si>
  <si>
    <t xml:space="preserve">RN DE ALICE FERNANDES DA SILVA </t>
  </si>
  <si>
    <t>29.12.24</t>
  </si>
  <si>
    <t>RN DE ALESSANDRA DE MELO MAFORTE</t>
  </si>
  <si>
    <t xml:space="preserve">RN DE ELAINE ROBERTA FIGUEIREDO C. DE OLIVEIRA </t>
  </si>
  <si>
    <t>RN DE LARISSA FIORELLI JONER GI</t>
  </si>
  <si>
    <t>RN DE LARISSA FIORELLI JONER GII</t>
  </si>
  <si>
    <t xml:space="preserve">RN DE KETHELY RODRIGUES DOS SANTOS </t>
  </si>
  <si>
    <t xml:space="preserve">Leitos </t>
  </si>
  <si>
    <t>Dias na competencia</t>
  </si>
  <si>
    <t>Total</t>
  </si>
  <si>
    <t>Leitos Ocupados</t>
  </si>
  <si>
    <t>Taxa de Ocupação</t>
  </si>
  <si>
    <t>Média Permanencia</t>
  </si>
  <si>
    <t>% Óbitos</t>
  </si>
  <si>
    <t>% &gt;24h</t>
  </si>
  <si>
    <t>% &lt;24h</t>
  </si>
  <si>
    <t>% Capital</t>
  </si>
  <si>
    <t>% Interior</t>
  </si>
  <si>
    <r>
      <rPr>
        <b/>
        <sz val="10"/>
        <color theme="1"/>
        <rFont val="Calibri"/>
        <charset val="134"/>
        <scheme val="minor"/>
      </rPr>
      <t>HOSPITAL SANTA HELENA - UTI NEONATAL - COMPETENCIA: DEZEMBRO  01/01/2025 A 31/01/2025</t>
    </r>
    <r>
      <rPr>
        <b/>
        <sz val="10"/>
        <color indexed="8"/>
        <rFont val="Calibri"/>
        <charset val="134"/>
      </rPr>
      <t>)</t>
    </r>
  </si>
  <si>
    <t>16/01/2025</t>
  </si>
  <si>
    <t>17/01/2025</t>
  </si>
  <si>
    <t>02/01/2025</t>
  </si>
  <si>
    <t>04/01/2025</t>
  </si>
  <si>
    <t>06/01/2025</t>
  </si>
  <si>
    <t>PEDRO BOEIRA DE CARVALHO</t>
  </si>
  <si>
    <t>03/01/2025</t>
  </si>
  <si>
    <t>GEOVANE JONER LEITE GI</t>
  </si>
  <si>
    <t>GUSTAVO JONER LEITE GII</t>
  </si>
  <si>
    <t xml:space="preserve">MARIA HELOISA RODRIGUES FERNADES </t>
  </si>
  <si>
    <t>LIS AURORA</t>
  </si>
  <si>
    <t>01.01.25</t>
  </si>
  <si>
    <t>HIAGO PAZ DE OLIVEIRA ZINI</t>
  </si>
  <si>
    <t>03.01.25</t>
  </si>
  <si>
    <t>AYLLA LAVINYA PONTE FONSECA</t>
  </si>
  <si>
    <t>02.01.25</t>
  </si>
  <si>
    <t>THEO VALENTIM FERREIRA BARBOSA</t>
  </si>
  <si>
    <t>04.01.25</t>
  </si>
  <si>
    <t xml:space="preserve">HEITOR RYAN MARCOSINI ASSUNÇÃO </t>
  </si>
  <si>
    <t>05.01.25</t>
  </si>
  <si>
    <t>AURORA AVILLA RONDON</t>
  </si>
  <si>
    <t>23/01/2025</t>
  </si>
  <si>
    <t xml:space="preserve">ISIS HELENA FERREIRA DA SILVA </t>
  </si>
  <si>
    <t>06.01.25</t>
  </si>
  <si>
    <t>MARIA ISIS BARROS DA SILVA</t>
  </si>
  <si>
    <t>08.01.25</t>
  </si>
  <si>
    <t>ENOQUE DE CARVALHO REGIS</t>
  </si>
  <si>
    <t>MARIA VITORIA DE MORAES NUNES</t>
  </si>
  <si>
    <t>09.01.25</t>
  </si>
  <si>
    <t>27/01/2025</t>
  </si>
  <si>
    <t>ROSY HELENA CRUZ LIMA</t>
  </si>
  <si>
    <t>JADE IRIS DA SILVA</t>
  </si>
  <si>
    <t>10.01.25</t>
  </si>
  <si>
    <t>18/01/2025</t>
  </si>
  <si>
    <t>YOHANA LIZ DO MONTE VEZETIV</t>
  </si>
  <si>
    <t>11.01.25</t>
  </si>
  <si>
    <t>JOAQUIM BESSA CARNELOSSI G1</t>
  </si>
  <si>
    <t>30/01/2025</t>
  </si>
  <si>
    <t>EMANUEL BESSA CARNELOSSI G2</t>
  </si>
  <si>
    <t>31/01/2025</t>
  </si>
  <si>
    <t xml:space="preserve">LUISA ARGETON DOS SANTOS </t>
  </si>
  <si>
    <t>ENZO GABRIEL COSTA SOUZA</t>
  </si>
  <si>
    <t>07.01.25</t>
  </si>
  <si>
    <t xml:space="preserve">YOHANA EMANUELLY ARAUJO MATOS </t>
  </si>
  <si>
    <t>13.01.25</t>
  </si>
  <si>
    <t>RN DE ROBERTA LUANA R. DE OLIVEIRA</t>
  </si>
  <si>
    <t>14.01.25</t>
  </si>
  <si>
    <t>28/01/2025</t>
  </si>
  <si>
    <t>LUIZ GABRIEL TAVARES RODRIGUES G2</t>
  </si>
  <si>
    <t>15.01.25</t>
  </si>
  <si>
    <t>22/01/2025</t>
  </si>
  <si>
    <t>ENZO GABRIEL SANTANA DA SILVA</t>
  </si>
  <si>
    <t>16.01.25</t>
  </si>
  <si>
    <t>MARIA JULIA NUNES DE SOUZA</t>
  </si>
  <si>
    <t>17.01.25</t>
  </si>
  <si>
    <t>MAITE GABRIELA PEREIRA SOUZA</t>
  </si>
  <si>
    <t>MANUELA MAYTYGO TAPIRAPE</t>
  </si>
  <si>
    <t>18.01.25</t>
  </si>
  <si>
    <t>RN DE DANIELA KARPINSKI</t>
  </si>
  <si>
    <t>20.01.25</t>
  </si>
  <si>
    <t>MANUELY SILVA RONDON  DOS SANTOS</t>
  </si>
  <si>
    <t>LEVI BRYAN DE ANDRADE</t>
  </si>
  <si>
    <t>21.01.25</t>
  </si>
  <si>
    <t>DE KAROLINE APARECIDA TRINDADE</t>
  </si>
  <si>
    <t xml:space="preserve">LIAM BENICIO DA CONCEIÇÃO MAGALHAES </t>
  </si>
  <si>
    <t>ANTONIO CARLOS SOUZA DA SILVA</t>
  </si>
  <si>
    <t>24.01.25</t>
  </si>
  <si>
    <t>HADASSA DA SILVA WISCH</t>
  </si>
  <si>
    <t>25.01.25</t>
  </si>
  <si>
    <t xml:space="preserve">JUAN EMANUEL B. DE SOUZA ALENCAR </t>
  </si>
  <si>
    <t>28.01.25</t>
  </si>
  <si>
    <t xml:space="preserve">VICENTE SANTIAGO O. DE ARRUDA NUNES </t>
  </si>
  <si>
    <t>29.01.25</t>
  </si>
  <si>
    <t>RN DE LUANA MELO VALE</t>
  </si>
  <si>
    <t>30.01.25</t>
  </si>
  <si>
    <t xml:space="preserve">RN DE KARIZIA GABRIELA DE JESUS </t>
  </si>
  <si>
    <t>31.01.25</t>
  </si>
  <si>
    <t>RN DE RAFAELLE KELISSE OLIVEIRA DA COSTA</t>
  </si>
  <si>
    <t>27.01.25</t>
  </si>
  <si>
    <r>
      <rPr>
        <b/>
        <sz val="10"/>
        <color theme="1"/>
        <rFont val="Calibri"/>
        <charset val="134"/>
        <scheme val="minor"/>
      </rPr>
      <t>HOSPITAL SANTA HELENA - UTI NEONATAL - COMPETENCIA: DEZEMBRO  01/02/2025 A 28/02/2025</t>
    </r>
    <r>
      <rPr>
        <b/>
        <sz val="10"/>
        <color indexed="8"/>
        <rFont val="Calibri"/>
        <charset val="134"/>
      </rPr>
      <t>)</t>
    </r>
  </si>
  <si>
    <t>29.12.2024</t>
  </si>
  <si>
    <t>27/02/2025</t>
  </si>
  <si>
    <t>03.01.2025</t>
  </si>
  <si>
    <t>20/02/2025</t>
  </si>
  <si>
    <t>04.01.2025</t>
  </si>
  <si>
    <t>05.01.2025</t>
  </si>
  <si>
    <t>08.01.2025</t>
  </si>
  <si>
    <t>09.01.2025</t>
  </si>
  <si>
    <t>17/02/2025</t>
  </si>
  <si>
    <t>11.01.2025</t>
  </si>
  <si>
    <t>10/02/2025</t>
  </si>
  <si>
    <t>16.01.2025</t>
  </si>
  <si>
    <t>13/02/2025</t>
  </si>
  <si>
    <t>17.01.2025</t>
  </si>
  <si>
    <t>05/02/2025</t>
  </si>
  <si>
    <t>18.01.2025</t>
  </si>
  <si>
    <t>04/02/2025</t>
  </si>
  <si>
    <t>20.01.2025</t>
  </si>
  <si>
    <t>11/02/2025</t>
  </si>
  <si>
    <t>21.01.2025</t>
  </si>
  <si>
    <t>24.01.2025</t>
  </si>
  <si>
    <t>25.01.2025</t>
  </si>
  <si>
    <t>28.01.2025</t>
  </si>
  <si>
    <t>29.01.2025</t>
  </si>
  <si>
    <t>ANA VALENTINA FAVELA MELO</t>
  </si>
  <si>
    <t>30.01.2025</t>
  </si>
  <si>
    <t>DEBORA GABRIELA DE JESUS ALVES DA SILVA</t>
  </si>
  <si>
    <t>31.01.2025</t>
  </si>
  <si>
    <t>27.01.2025</t>
  </si>
  <si>
    <t>03/02/2025</t>
  </si>
  <si>
    <t>ISADORA MARQUES PEDROSO</t>
  </si>
  <si>
    <t>02.02.2025</t>
  </si>
  <si>
    <t>EZEQUIEL SILVA DO NASCIMENTO</t>
  </si>
  <si>
    <t>03.02.2025</t>
  </si>
  <si>
    <t>CELENA SILVA ARGENTÃO</t>
  </si>
  <si>
    <t>12/02/2025</t>
  </si>
  <si>
    <t>YASMIN SANTOS SILVA</t>
  </si>
  <si>
    <t>ENZO DA SILVA</t>
  </si>
  <si>
    <t>MATHIAS FERREIRA DE SOUZA</t>
  </si>
  <si>
    <t>BENJAMIN MOURA DA SILVA VERLINDO</t>
  </si>
  <si>
    <t>NICOLAS GUSTAVO RIBEIRO I. DE SOUZA</t>
  </si>
  <si>
    <t xml:space="preserve">ENDRYCK LUCCA LIMA SOLES </t>
  </si>
  <si>
    <t>JEAN HENRIQUE MARTINS MENDES</t>
  </si>
  <si>
    <t>HEITOR EMANUEL RODRIGUES DE SOUZA</t>
  </si>
  <si>
    <t>ANTONIO AUGUSTO PROSPERI MOREIRA</t>
  </si>
  <si>
    <t>MARCOS DA SILVA OLIVEIRA</t>
  </si>
  <si>
    <t>VITORIA ELOA TAVARES DO NASCIMENTO</t>
  </si>
  <si>
    <t>CECILIA VITORIA RODRIGUES BARBOSA</t>
  </si>
  <si>
    <t>ANDERLIS ZARAY GONZALEZ</t>
  </si>
  <si>
    <t>MIGUEL MORAES TEIXEIRA</t>
  </si>
  <si>
    <t>KAUE LUCCA COSTA DE ARRUDA</t>
  </si>
  <si>
    <t>MURILO XAVIER RIBEIRO</t>
  </si>
  <si>
    <t>JOAO GUILHERME PEDRAS DIAS</t>
  </si>
  <si>
    <t>BENJAMIM ANTONIO DE OLIVEIRA FELIX</t>
  </si>
  <si>
    <t xml:space="preserve">RN DE ALICYA ISABELLY MARQUES ANDRADE </t>
  </si>
  <si>
    <t xml:space="preserve">RN DE QUEREN RODRIGUES DA SILVA </t>
  </si>
  <si>
    <t xml:space="preserve">EMANOEL ALISON SOUZA RODRIGUES </t>
  </si>
  <si>
    <t xml:space="preserve"> RN DE EMANUELLY FREITAS</t>
  </si>
  <si>
    <t>NOAH GABRIEL RIBEIRO DA SILVA</t>
  </si>
  <si>
    <t xml:space="preserve">LEANDRO ALMEIDA DA SILVA </t>
  </si>
  <si>
    <t>RN DE EMANUELA FRANCISCA DA SILVA</t>
  </si>
  <si>
    <t xml:space="preserve">RN DE ADRIELE CRISTINA MORAES </t>
  </si>
  <si>
    <r>
      <rPr>
        <b/>
        <sz val="10"/>
        <color theme="1"/>
        <rFont val="Calibri"/>
        <charset val="134"/>
        <scheme val="minor"/>
      </rPr>
      <t>HOSPITAL SANTA HELENA - UTI NEONATAL - COMPETENCIA: DEZEMBRO  01/03/2025 A 31/03/2025</t>
    </r>
    <r>
      <rPr>
        <b/>
        <sz val="10"/>
        <color indexed="8"/>
        <rFont val="Calibri"/>
        <charset val="134"/>
      </rPr>
      <t>)</t>
    </r>
  </si>
  <si>
    <t>UTIN</t>
  </si>
  <si>
    <t>01/03/2025</t>
  </si>
  <si>
    <t>24/01/2025</t>
  </si>
  <si>
    <t>25/01/2025</t>
  </si>
  <si>
    <t>TRANSF UCINCO</t>
  </si>
  <si>
    <t xml:space="preserve">ISADORA MARQUES PEDROSO </t>
  </si>
  <si>
    <t>16/03/2025</t>
  </si>
  <si>
    <t>27/03/2025</t>
  </si>
  <si>
    <t>14/03/2025</t>
  </si>
  <si>
    <t>TRANSF UCINCA</t>
  </si>
  <si>
    <t>12/03/2025</t>
  </si>
  <si>
    <t>02/03/2025</t>
  </si>
  <si>
    <t>20/03/2025</t>
  </si>
  <si>
    <t>RHADASSA VITORIA DA SILVA MORAES</t>
  </si>
  <si>
    <t>06/03/2025</t>
  </si>
  <si>
    <t>10/03/2025</t>
  </si>
  <si>
    <t>LORENA VITORIA DA SILVA</t>
  </si>
  <si>
    <t>NYCOLLAS CHRISTIAN MORAES DA SILVA</t>
  </si>
  <si>
    <t>ASAFE SILVA ZARK</t>
  </si>
  <si>
    <t>ANTONIO DE ARRUDA RONDON MASSAVI</t>
  </si>
  <si>
    <t>GERSON DUTRA GONÇALVES</t>
  </si>
  <si>
    <t>ISIS HELENA SILVA DE SOUZA</t>
  </si>
  <si>
    <t>MAITE HELLENNA MARTINS SOARES</t>
  </si>
  <si>
    <t>ISABELA IORRANA FERREIRA DA SILVA</t>
  </si>
  <si>
    <t>CECILIA VITORIA DA SILVA SCHREINER</t>
  </si>
  <si>
    <t xml:space="preserve">LAURA SOFIA DE SOUSA SILVA </t>
  </si>
  <si>
    <t>HELENA MARQUES  SANTOS DE MOURA</t>
  </si>
  <si>
    <t xml:space="preserve">JOAO GABRIEL DA CRUZ OLIVEIRA </t>
  </si>
  <si>
    <t>RN DE CECILIA CRISTINA CAMPOS</t>
  </si>
  <si>
    <t>MAITE CELINA FALCÃO</t>
  </si>
  <si>
    <t>HENRY LEONARDO DE ALENCAR CAFÉ</t>
  </si>
  <si>
    <t>MAYLLA LUNNA DE ARRUDA GUIMARAES</t>
  </si>
  <si>
    <t>MARIA CECILIA AGUIAR FERNANDES</t>
  </si>
  <si>
    <t>JADE MORAES DE LOPES</t>
  </si>
  <si>
    <t>ELIZA XAVIER AMANCIO</t>
  </si>
  <si>
    <t>ELIAS GABRIEL MORAES CORREA</t>
  </si>
  <si>
    <t xml:space="preserve">RN DE EVELLYN GABRIELLY LOPES SILVA </t>
  </si>
  <si>
    <t>RN DE MARIA CLARA LIANDRA COSTA</t>
  </si>
  <si>
    <t>RN DE KETILLY VITORIA DIAS</t>
  </si>
  <si>
    <t>RN DE KETHERLEN LARA BARBOSA</t>
  </si>
  <si>
    <t>RN DE JENIFFER MAGALHÃES LARA</t>
  </si>
  <si>
    <r>
      <rPr>
        <b/>
        <sz val="10"/>
        <color theme="1"/>
        <rFont val="Calibri"/>
        <charset val="134"/>
        <scheme val="minor"/>
      </rPr>
      <t>HOSPITAL SANTA HELENA - UTI NEONATAL - COMPETENCIA: DEZEMBRO  01/04/2025 A 30/04/2025</t>
    </r>
    <r>
      <rPr>
        <b/>
        <sz val="10"/>
        <color indexed="8"/>
        <rFont val="Calibri"/>
        <charset val="134"/>
      </rPr>
      <t>)</t>
    </r>
  </si>
  <si>
    <t>25/05/2025</t>
  </si>
  <si>
    <t>OLIVER RAVI</t>
  </si>
  <si>
    <t>BERNARDO LINO DA COSTA</t>
  </si>
  <si>
    <t>AURORA SOPHIA LARA SOUZA</t>
  </si>
  <si>
    <t xml:space="preserve">RAUL MAGALHAES LARA </t>
  </si>
  <si>
    <t>ISABELLA COSTA BARRETO</t>
  </si>
  <si>
    <t>WALTER DA SILVA</t>
  </si>
  <si>
    <t>EDUARDO HENRIC DO NASCIMNETO FAEDO</t>
  </si>
  <si>
    <t>PEDRO MACIEL ROSA</t>
  </si>
  <si>
    <t xml:space="preserve">CECILIA VITORIA DA SILVA OLIVEIRA </t>
  </si>
  <si>
    <t>BENICIO OLIVEIRA DA SILVA</t>
  </si>
  <si>
    <t>ARTHUR MIGUEL BATISTA DE ASSIS</t>
  </si>
  <si>
    <t>KIARA VALENTINA DA SILVA OLIVEIRA</t>
  </si>
  <si>
    <t>DANTE QUINTINO GUSMAO SILVA</t>
  </si>
  <si>
    <t>LORENZO GABRIEL SILVA PEREIRA</t>
  </si>
  <si>
    <t>MATTEO HENRIQUE CARDOSO SILVA</t>
  </si>
  <si>
    <t xml:space="preserve">MATHEUS HENRIQUE MARTINS ALVES </t>
  </si>
  <si>
    <t>HENRY KALEB RODRIGUES DE ARRUDA</t>
  </si>
  <si>
    <t>JULIA  GABRIELLY SILVA MARQUES</t>
  </si>
  <si>
    <t>ISIS BEATRIZ ANTUNES PEREIRA</t>
  </si>
  <si>
    <t>MIRELLA VITORIA MORAES DA SILVA</t>
  </si>
  <si>
    <t>MANUEL DAVI SANTANA REIS</t>
  </si>
  <si>
    <t>LYA VITORIA ROSA RONDON</t>
  </si>
  <si>
    <t>NICOLLY DA SILVA</t>
  </si>
  <si>
    <t xml:space="preserve">RN DE LARISSA DA SILVA </t>
  </si>
  <si>
    <t>RN DE MELISSA GABRIELY RODRIGUES GI</t>
  </si>
  <si>
    <t>RN DE MELISSA GABRIELY RODRIGUES GII</t>
  </si>
  <si>
    <r>
      <rPr>
        <b/>
        <sz val="10"/>
        <color theme="1"/>
        <rFont val="Calibri"/>
        <charset val="134"/>
        <scheme val="minor"/>
      </rPr>
      <t>HOSPITAL SANTA HELENA - UTI NEONATAL - COMPETENCIA: MAIO  01/05/2025 A 31/05/2025</t>
    </r>
    <r>
      <rPr>
        <b/>
        <sz val="10"/>
        <color indexed="8"/>
        <rFont val="Calibri"/>
        <charset val="134"/>
      </rPr>
      <t>)</t>
    </r>
  </si>
  <si>
    <t>01/05/2025</t>
  </si>
  <si>
    <t>AURORA MIRANDA</t>
  </si>
  <si>
    <t>ICARO RODRIGUES DE CASTILHO GI</t>
  </si>
  <si>
    <t>ALUIZIO RODRIGUES DE CASTILHO GII</t>
  </si>
  <si>
    <t xml:space="preserve">RHAVI GABRIEL MIRANDA  </t>
  </si>
  <si>
    <t xml:space="preserve">MURILO XAVIER RIBEIRO </t>
  </si>
  <si>
    <t>ISIS RODRIGUES GONÇALVES</t>
  </si>
  <si>
    <t xml:space="preserve">ENDREU GAEL </t>
  </si>
  <si>
    <t>OLIVER SIQUEIRA LIMA</t>
  </si>
  <si>
    <t>AURORA ELOA RODRIGUES</t>
  </si>
  <si>
    <t>MARIA CLARA NUNES DA CRUZ</t>
  </si>
  <si>
    <t>GAEL JESUS SILVA TIMO</t>
  </si>
  <si>
    <t xml:space="preserve">JENIFFER CAROLINE BARROS DOS SANTOS </t>
  </si>
  <si>
    <t xml:space="preserve">GAEL VINICIUS GOMES SAMPAIO </t>
  </si>
  <si>
    <t>MANUELYS VALENTINA SACALY RUIZ</t>
  </si>
  <si>
    <t>TRANSF PED</t>
  </si>
  <si>
    <t>VICTOR CARVALHO</t>
  </si>
  <si>
    <t xml:space="preserve">HANNAH ELIZABETH VIANA </t>
  </si>
  <si>
    <t>CECILIA DE OLIVEIRA</t>
  </si>
  <si>
    <t>MARIA OLIVIA SENE DE OLIVEIRA</t>
  </si>
  <si>
    <t>ALICE VITORIA MIRANDA ALVES</t>
  </si>
  <si>
    <t>GAEL VALENTIN DE OLIVEIRA</t>
  </si>
  <si>
    <t>DOMINIC BISPO</t>
  </si>
  <si>
    <t>JADY EMANUELLY HOANDER ALVES</t>
  </si>
  <si>
    <t>RN DE MONICA MORAES TEIXEIRA</t>
  </si>
  <si>
    <t>ANTONELA SEBASTIANA V. DE SOUZA BRITO</t>
  </si>
  <si>
    <t>RN DE ELAINE CRISTINA DIAS MENDES</t>
  </si>
  <si>
    <t>RN DE DANIELLE BARBOSA DE OLIVEIRA</t>
  </si>
  <si>
    <t>UCINCO</t>
  </si>
  <si>
    <t>TRANSF UTIN</t>
  </si>
  <si>
    <t>04/05/2025</t>
  </si>
  <si>
    <t>06/05/2025</t>
  </si>
  <si>
    <t xml:space="preserve">ISIS BETARIZ ANTUNES PEREIRA </t>
  </si>
  <si>
    <t>RN DE ELIARA APARECIDA GOMES LEITE</t>
  </si>
  <si>
    <t xml:space="preserve">RN DE ANNA RACKELLY RODRIGUES </t>
  </si>
  <si>
    <t>AYLA VITORIA VALENTINS</t>
  </si>
  <si>
    <t>ISIS AISHA HOSPEDALES RIVERO</t>
  </si>
  <si>
    <t>DANIEL JESUS GOMES</t>
  </si>
  <si>
    <t>UCINCA</t>
  </si>
  <si>
    <t xml:space="preserve">NICOLAS GABRIEL SANTANA DOS ANJOS </t>
  </si>
  <si>
    <t>25/04/2025</t>
  </si>
  <si>
    <t>30/04/2025</t>
  </si>
  <si>
    <t>DANTE QUINTINO</t>
  </si>
  <si>
    <t>08/05/2025</t>
  </si>
  <si>
    <r>
      <rPr>
        <b/>
        <sz val="10"/>
        <color theme="1"/>
        <rFont val="Calibri"/>
        <charset val="134"/>
        <scheme val="minor"/>
      </rPr>
      <t>HOSPITAL SANTA HELENA - UTI NEONATAL - COMPETENCIA: JUNHO  01/06/2025 A 30/06/2025</t>
    </r>
    <r>
      <rPr>
        <b/>
        <sz val="10"/>
        <color indexed="8"/>
        <rFont val="Calibri"/>
        <charset val="134"/>
      </rPr>
      <t>)</t>
    </r>
  </si>
  <si>
    <t>THEODORO THALES TEIXEIRA</t>
  </si>
  <si>
    <t>NINA HELENA DIAS MENDES</t>
  </si>
  <si>
    <t>MARIA CECILIA OLIVEIRA DA SILVA</t>
  </si>
  <si>
    <t>ANTONY GABRIEL GONÇALO ALVES</t>
  </si>
  <si>
    <t xml:space="preserve">RN DE SIMONE SAMPAIO DA SILVA </t>
  </si>
  <si>
    <t>LEVI MORETTI</t>
  </si>
  <si>
    <t>LIVIA PIRES BORMAN</t>
  </si>
  <si>
    <t>JADE VITORIA SOUZA DE OLIVEIRA</t>
  </si>
  <si>
    <t>ANTHONY ABRAAO FERREIRA DA SILVA</t>
  </si>
  <si>
    <t>GAEL MATHEUS SOUZA CELADA</t>
  </si>
  <si>
    <t xml:space="preserve">MAVIE ALMEIDA DE OLIVEIRA </t>
  </si>
  <si>
    <t>HENRIQUE CIQUINI XAVIER</t>
  </si>
  <si>
    <t>ELOAH DOS SANTOS QUEIROZ</t>
  </si>
  <si>
    <t>ALICE EMANUELY SOUZA SILVA</t>
  </si>
  <si>
    <t>DAVI SANTIM DA SILVA</t>
  </si>
  <si>
    <t>DAVI JUNIOR SANTOS REIS</t>
  </si>
  <si>
    <t>HELENA ALVES F. N. VENDRAMINI</t>
  </si>
  <si>
    <t>AURORA MENDONÇA DOS SANTOS REIS</t>
  </si>
  <si>
    <t>LUCCAS RAVI GARCIA RONDON</t>
  </si>
  <si>
    <t>RN DE LEONICE ALMEIDA DOS SANTOS</t>
  </si>
  <si>
    <t>RN MARIA DA GLORIA</t>
  </si>
  <si>
    <t>RN DE VICTORIA APARECIDA DE A. LEITE</t>
  </si>
  <si>
    <t>RN DE MARIA ELIZABETE GOMES PINHEIRO</t>
  </si>
  <si>
    <t>LORENA DE CAMARGO DA COSTA</t>
  </si>
  <si>
    <t>RN DE VALERIA CANDIDO DOS SANTOS</t>
  </si>
  <si>
    <t>MARIA ALICE RIBEIRO SAGA SILVEIRA</t>
  </si>
  <si>
    <t>HELENA RODRIGUES GONÇALVES</t>
  </si>
  <si>
    <t>30/06/205</t>
  </si>
  <si>
    <r>
      <rPr>
        <b/>
        <sz val="10"/>
        <color theme="1"/>
        <rFont val="Calibri"/>
        <charset val="134"/>
        <scheme val="minor"/>
      </rPr>
      <t>HOSPITAL SANTA HELENA - UTI NEONATAL - COMPETENCIA: JULHO  01/07/2025 A 31/07/2025</t>
    </r>
    <r>
      <rPr>
        <b/>
        <sz val="10"/>
        <color indexed="8"/>
        <rFont val="Calibri"/>
        <charset val="134"/>
      </rPr>
      <t>)</t>
    </r>
  </si>
  <si>
    <t>26/07/2025</t>
  </si>
  <si>
    <t>AURORA VITORIA A. DE ALMEIDA QUEIROZ</t>
  </si>
  <si>
    <t>JADDY HELENA PEREIRA COSTA</t>
  </si>
  <si>
    <t>NOAH  HENRIQUE GOMES DE NOBRE</t>
  </si>
  <si>
    <t>NOAH VALENTIM DA SILVA SANTOS</t>
  </si>
  <si>
    <t>JULLYA VITORIA BOTELHO</t>
  </si>
  <si>
    <t>CATARINA TELES GOMES</t>
  </si>
  <si>
    <t>THIAGO ALEXANDER O. YAGUARAN</t>
  </si>
  <si>
    <t>ANTHONY GABRIEL DE AQUINO PEREIRA</t>
  </si>
  <si>
    <t xml:space="preserve">RN DE TALITA NASCIMENTO DOS SANTOS </t>
  </si>
  <si>
    <t>TRANSF AC</t>
  </si>
  <si>
    <t>RHAVI GABRIEL MIRANDA</t>
  </si>
  <si>
    <t xml:space="preserve">RN DE MARIA EDUARDA DA SILVA GOUVEIA </t>
  </si>
  <si>
    <t>RN DE THAYNA CRESTINY AGUIAR DE ALMEIDA</t>
  </si>
  <si>
    <t xml:space="preserve">RAVI ARTHUR PERALTA AGUIAR </t>
  </si>
  <si>
    <t>RN DE THAINA DE MORAES COSTA</t>
  </si>
  <si>
    <t>14/07/205</t>
  </si>
  <si>
    <t>ISADORA MATOS SAVIONE</t>
  </si>
  <si>
    <t>RAMON ALE ROCHA G1</t>
  </si>
  <si>
    <t>RONNY NETO ROCHA G2</t>
  </si>
  <si>
    <t>11/07/2025</t>
  </si>
  <si>
    <t>LAURA RODRIGUES CAVALCANTE G1</t>
  </si>
  <si>
    <t>LIVIA RODRIGUES CAVALCANTE G2</t>
  </si>
  <si>
    <t>RUAN GABRIEL SOUZA VIEIRA</t>
  </si>
  <si>
    <t>MARIA HELLENA DIAS SANTOS BARRETO</t>
  </si>
  <si>
    <t>JOAQUIM DOUGLAS APARECIDO SIQUEIRA</t>
  </si>
  <si>
    <t>MAYA APARECIDA TAPAJOS COELHO</t>
  </si>
  <si>
    <t xml:space="preserve">AYLLA VICTORIA LEMES DOS SANTOS </t>
  </si>
  <si>
    <t>RHIAN JUNIOR RODRIGUES RIBEIRO</t>
  </si>
  <si>
    <t>RN DE MAISA DOS SANTOS LUIZ</t>
  </si>
  <si>
    <t>RN DE KETLEY MENEZES DOS SANTOS</t>
  </si>
  <si>
    <t>ISSAC DA COSTA TOMAZELLI</t>
  </si>
  <si>
    <t>NOAH DAVI DA SILVA DE OLIVEIRA</t>
  </si>
  <si>
    <t>RAMON HENRQIUE LEITE SILVA</t>
  </si>
  <si>
    <t>RN DE TAYSMAR CAROLINA BASTARDO FIGUEIREDO</t>
  </si>
  <si>
    <t>LUIZ HENRIQUE DE MORAES</t>
  </si>
  <si>
    <t>ELOA QUEIROZ DE OLIVEIRA</t>
  </si>
  <si>
    <t>AYLLA CECILIA PINHO DA SILVA</t>
  </si>
  <si>
    <t>MARIA CECILIA LEAO DA SILVA</t>
  </si>
  <si>
    <t>RN DE THASSILA NATALIA V. DE ALVARENGA</t>
  </si>
  <si>
    <t>YASLINE LIARA DA SILVA PEREIRA</t>
  </si>
  <si>
    <t>TRANSF P/ PED</t>
  </si>
  <si>
    <t>MARIA CECILIA BRUCE DE ALVARENGA</t>
  </si>
  <si>
    <t>RN DE BIANCA APARECIDA MORAES DE SIQUEIRA</t>
  </si>
  <si>
    <t>TRANSF P/ UTIN</t>
  </si>
  <si>
    <t>24/07/2025</t>
  </si>
  <si>
    <t>28/07/2025</t>
  </si>
  <si>
    <r>
      <rPr>
        <b/>
        <sz val="10"/>
        <color theme="1"/>
        <rFont val="Calibri"/>
        <charset val="134"/>
        <scheme val="minor"/>
      </rPr>
      <t>HOSPITAL SANTA HELENA - UTI NEONATAL - COMPETENCIA:AGOSTO  01/08/2025 A 31/08/2025</t>
    </r>
    <r>
      <rPr>
        <b/>
        <sz val="10"/>
        <color indexed="8"/>
        <rFont val="Calibri"/>
        <charset val="134"/>
      </rPr>
      <t>)</t>
    </r>
  </si>
  <si>
    <t>MARIA ALICE DOS SANTOS</t>
  </si>
  <si>
    <t>FRANK LUIS ARAUJO BASTARDO</t>
  </si>
  <si>
    <t>LUCCA RICO XAVIER DE OLIVEIRA</t>
  </si>
  <si>
    <t xml:space="preserve">JOAQUIM CAMPOS DE SANTANA </t>
  </si>
  <si>
    <t>ANALU OLIVEIRA VIEIRA G2</t>
  </si>
  <si>
    <t>KALLEB P. RODRIGUES</t>
  </si>
  <si>
    <t>VALENTIM GILBERTO ALVES MAMORE</t>
  </si>
  <si>
    <t>ANA JULIA OLIVEIRA VIEIRA G1</t>
  </si>
  <si>
    <t xml:space="preserve">CATARINA TELES GOMES </t>
  </si>
  <si>
    <t>MARIA VITORIA DA SILVA</t>
  </si>
  <si>
    <t>JOAQUIM SARAVA LEQUE</t>
  </si>
  <si>
    <t xml:space="preserve">THEO VALENTIN SANTANA PEREIRA </t>
  </si>
  <si>
    <t>LUIZ MIGUEL DE ALMEIDA SOARES</t>
  </si>
  <si>
    <t>BENJAMIN MARTINS</t>
  </si>
  <si>
    <t>MAITE SOPHIA DA SILVA SANTOS</t>
  </si>
  <si>
    <t>BENJAMIN LUCAS MARTINS DA SILVA</t>
  </si>
  <si>
    <t xml:space="preserve"> MIGUEL FERNANDES DA SILVA</t>
  </si>
  <si>
    <t>AUGUSTO HENRIQUE GOMES ROSARIO</t>
  </si>
  <si>
    <t>CAETANO GOMES</t>
  </si>
  <si>
    <t>CECILIA HELENA STREG BOENO</t>
  </si>
  <si>
    <t>LIZ RHAIANNE ASSIS THOMPSON</t>
  </si>
  <si>
    <t>MARIA LUIZA RODRIGUES FELIX</t>
  </si>
  <si>
    <t>THAYLLA LETICIA OLIVEIRA DO BELEM</t>
  </si>
  <si>
    <t>SAMUEL MIGUEL MARQUES</t>
  </si>
  <si>
    <t>PEDRO NATAN TEIXEIRA DA SILVA MOREIRA</t>
  </si>
  <si>
    <t xml:space="preserve">EGIDIO LEONARDO MEIRELES </t>
  </si>
  <si>
    <t>LOHAN ALVES SANTOS DE ARRUDA</t>
  </si>
  <si>
    <t>RN DE WEVILLY JAIANNY S DE OLIVEIRA</t>
  </si>
  <si>
    <t>MAIKE MIGUEL MIRANDA DA SILVA</t>
  </si>
  <si>
    <t>RN DE THAINA PEREIRA DA SILVA</t>
  </si>
  <si>
    <t>MARIA GABRIELLE FERREIRA VENTURA</t>
  </si>
  <si>
    <t>RN DE LUANA LEITE CORREA</t>
  </si>
  <si>
    <t>RAMON HENRIQUE LEITE SILVA</t>
  </si>
  <si>
    <t xml:space="preserve">AYLLA GABRIELY DO NASCIMENTO </t>
  </si>
  <si>
    <t xml:space="preserve">NOAH DAVI DA SILVA DE OLIVEIRA </t>
  </si>
  <si>
    <t>OLIVER MIGUEL SANTOS DA CUNHA</t>
  </si>
  <si>
    <t>GAEL HENRIQUE E. SANTOS</t>
  </si>
  <si>
    <r>
      <rPr>
        <b/>
        <sz val="10"/>
        <color theme="1"/>
        <rFont val="Calibri"/>
        <charset val="134"/>
        <scheme val="minor"/>
      </rPr>
      <t>HOSPITAL SANTA HELENA - UTI NEONATAL - COMPETENCIA: SETEMBRO  01/09/2025 A 31/09/2025</t>
    </r>
    <r>
      <rPr>
        <b/>
        <sz val="10"/>
        <color indexed="8"/>
        <rFont val="Calibri"/>
        <charset val="134"/>
      </rPr>
      <t>)</t>
    </r>
  </si>
  <si>
    <t>TFD</t>
  </si>
  <si>
    <t>SARAH ISIS SOUSA DE OLIVEIRA</t>
  </si>
  <si>
    <t>LUISA CORREA</t>
  </si>
  <si>
    <t xml:space="preserve">MIGUEL ANTONIO DE SOUZA </t>
  </si>
  <si>
    <t>MIKAEL JUSTINO O. DOS SANTOS</t>
  </si>
  <si>
    <t>MATHIAS RODRIGUES FRUTUOSO DA CRUZ</t>
  </si>
  <si>
    <t>DANIEL AKIN MELO</t>
  </si>
  <si>
    <t>JOSE HENRIQUE LEMES BARBOZA</t>
  </si>
  <si>
    <t>MARIA VITORIA SILVA CAMPOS</t>
  </si>
  <si>
    <t>MELINA AMELIA LANFREDI FASOLO</t>
  </si>
  <si>
    <t>DAVI LUCAS DO E. SANTO SILVA</t>
  </si>
  <si>
    <t>LUIS AUGUSTO ALVES</t>
  </si>
  <si>
    <t>THALES EMANUEL CORREIA MACIEL</t>
  </si>
  <si>
    <t xml:space="preserve">ARTHUR HENRIQUE DA SILVA SANTANA </t>
  </si>
  <si>
    <t>RN DE LUANA RODRIGUES MOTA</t>
  </si>
  <si>
    <t>ANA ALICE ARAUJO RAMOS</t>
  </si>
  <si>
    <t>LARA SOPHIA COENGA DE SIQUEIRA</t>
  </si>
  <si>
    <t>DAUA KEVIN JULES</t>
  </si>
  <si>
    <t xml:space="preserve">MARIA CECILIA NUNES </t>
  </si>
  <si>
    <t>CATARINA MARQUES DO R. MELO</t>
  </si>
  <si>
    <t>DAVI LUIZ GONCALVES RODRIGUES</t>
  </si>
  <si>
    <t>GAEL MANOEL MATOS DA SILVA</t>
  </si>
  <si>
    <t>HARIEL LUIZ PADILHA NASCIMENTO</t>
  </si>
  <si>
    <t xml:space="preserve">VALENTIM GILBERTO ALVES MAMORE </t>
  </si>
  <si>
    <t xml:space="preserve">ANA LIZ RONDON </t>
  </si>
  <si>
    <r>
      <rPr>
        <b/>
        <sz val="10"/>
        <color theme="1"/>
        <rFont val="Calibri"/>
        <charset val="134"/>
        <scheme val="minor"/>
      </rPr>
      <t>HOSPITAL SANTA HELENA - UTI NEONATAL - COMPETENCIA: SETEMBRO  01/10/2025 A 31/10/2025</t>
    </r>
    <r>
      <rPr>
        <b/>
        <sz val="10"/>
        <color indexed="8"/>
        <rFont val="Calibri"/>
        <charset val="134"/>
      </rPr>
      <t>)</t>
    </r>
  </si>
  <si>
    <t>ARTHUR GAEL MARTINEZ DA SILVA GOMES</t>
  </si>
  <si>
    <t>ELOAH AGATHA SOUZA DE OLIVEIEA</t>
  </si>
  <si>
    <t>MIGUEL KOELHERT</t>
  </si>
  <si>
    <t>HEITOR SCHWEIG PEREIRA</t>
  </si>
  <si>
    <t xml:space="preserve">BRYAN EMANUEL NUNES DA COSTA </t>
  </si>
  <si>
    <t xml:space="preserve">BENJAMIN AMORIM DE ASSIS </t>
  </si>
  <si>
    <t>MELISSA MONIQUE DA CRUZ PINTO</t>
  </si>
  <si>
    <t>NATANAEL WAIHIDZATSE</t>
  </si>
  <si>
    <t>ANA LIVIA F. DE SIQUEIRA</t>
  </si>
  <si>
    <t>MAITE ELENA NUNES DOS SANTOS G2</t>
  </si>
  <si>
    <t>ELOA FRANCISCA NUNES DOS SANTOS G1</t>
  </si>
  <si>
    <t>ARYELLA VICTORIA SANTOS DE OLIVEIRA</t>
  </si>
  <si>
    <t>RN DE NUBIA MARTINS REZENDE</t>
  </si>
  <si>
    <t>ISADORA GONCALO DA CRUZ</t>
  </si>
  <si>
    <t>ELOA ALMEIDA POMBO G1</t>
  </si>
  <si>
    <t>ELENA ALMEIDA POMBO G2</t>
  </si>
  <si>
    <t>ELIAS FAQUIM GONÇALVES</t>
  </si>
  <si>
    <t>RN DE BRENDA MARIANY DA SILVA</t>
  </si>
  <si>
    <t>ARTHUR MIGUEL DE ALMEIDA SILVA</t>
  </si>
  <si>
    <t>GAEL MATHEUS ALMONOR REME</t>
  </si>
  <si>
    <t>PEDRO HENRIQUE FERREIRA DOS REIS</t>
  </si>
  <si>
    <t>ELOA VALENTINA QUEIROZ SANTOS ALVES</t>
  </si>
  <si>
    <t>HEITOR VINICIUS CABRAL PEREIRA</t>
  </si>
  <si>
    <t>AYLLA MELINDA BARBOSA ANTUNES</t>
  </si>
  <si>
    <t xml:space="preserve">HELENA VITORIA CARVALHO COSTA </t>
  </si>
  <si>
    <t>MIGUEL VITORINO DE PINHO</t>
  </si>
  <si>
    <t>AYLLA VALENTINA RODRIGUES DA SILVA</t>
  </si>
  <si>
    <t xml:space="preserve">BRAYAN EMANUEL NUNES DA COSTA </t>
  </si>
  <si>
    <t>KALLEB LEVY OTAVIANO ALMEIDA</t>
  </si>
  <si>
    <t>REBECA MANUELLA S. M. RODRIGUES</t>
  </si>
  <si>
    <t xml:space="preserve">DAVI LUCCA DANTAS GUIMARAES </t>
  </si>
  <si>
    <t>RAPHAEL LUCIO DO N. SANTOS G1</t>
  </si>
  <si>
    <t>MIGUEL BENTO DO N. SANTOS G2</t>
  </si>
  <si>
    <t xml:space="preserve">MARIA LIA VEIGAS DA COSTA </t>
  </si>
  <si>
    <t xml:space="preserve">RHAVI FELIPE BASTOS DE OLIVEIRA </t>
  </si>
  <si>
    <t xml:space="preserve">MAYA GABRIELLY DA SILVA </t>
  </si>
  <si>
    <t>GUSTAVO HENRIQUE SOUZA DE CEBALHO</t>
  </si>
  <si>
    <t xml:space="preserve">DAVI SAMUEL GONZAGA </t>
  </si>
  <si>
    <t xml:space="preserve">HELENA DUARTE DE SOUZA </t>
  </si>
  <si>
    <t>ANANDA MOURA BELO</t>
  </si>
  <si>
    <t>AYLLA VITORIA PEREIRA DA SILVA</t>
  </si>
  <si>
    <t xml:space="preserve">ANTONELLA THOMAZ DA SILVA LISBOA </t>
  </si>
  <si>
    <t>ISIS AURORA LUIZA FERREIRA DE SANTANA</t>
  </si>
  <si>
    <t xml:space="preserve">ANTHONY KALEO OJEDA BRAUNA </t>
  </si>
  <si>
    <t>YURI GONÇALVES DE AMORIM</t>
  </si>
  <si>
    <t>LOHAN DA CONCEIÇÃO MARTINS AMARAL</t>
  </si>
  <si>
    <t xml:space="preserve">RN DE LAURIANE CRISTINA DE ARRUDA </t>
  </si>
  <si>
    <t xml:space="preserve">AURORA DE QUADROS PRATES </t>
  </si>
  <si>
    <t>23/11/20255</t>
  </si>
  <si>
    <t>SAMUEL RAVI DOS SANTOS SILVA</t>
  </si>
  <si>
    <t>AMABILLY VICTORIA O. DE SOUZA SILVA</t>
  </si>
  <si>
    <t>RN KETHELYN DOS REIS DA SILVA</t>
  </si>
  <si>
    <t>RN DE DANIELA SANTOS DE O. DA SILVA</t>
  </si>
  <si>
    <t>LARA SOUZA DE ALMEIDA MIRANDA</t>
  </si>
  <si>
    <t>MARIA LUIZA VERANO DA COSTA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</si>
</sst>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name val="Calibri"/>
      <charset val="134"/>
    </font>
    <font>
      <b/>
      <sz val="10"/>
      <color theme="1"/>
      <name val="Calibri"/>
      <charset val="134"/>
    </font>
    <font>
      <b/>
      <sz val="9"/>
      <name val="Calibri"/>
      <charset val="134"/>
    </font>
    <font>
      <b/>
      <sz val="9"/>
      <color rgb="FFFF0000"/>
      <name val="Calibri"/>
      <charset val="134"/>
    </font>
    <font>
      <b/>
      <sz val="9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sz val="12"/>
      <color theme="1"/>
      <name val="Comic Sans MS"/>
      <charset val="134"/>
    </font>
    <font>
      <b/>
      <sz val="10"/>
      <color indexed="8"/>
      <name val="Calibri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9" fontId="20" fillId="0" borderId="0" applyFont="0" applyFill="0" applyBorder="0" applyAlignment="0" applyProtection="0"/>
    <xf numFmtId="0" fontId="20" fillId="0" borderId="0"/>
    <xf numFmtId="0" fontId="18" fillId="0" borderId="0"/>
  </cellStyleXfs>
  <cellXfs count="674">
    <xf numFmtId="0" fontId="0" fillId="0" borderId="0" xfId="0"/>
    <xf numFmtId="14" fontId="2" fillId="3" borderId="0" xfId="3" applyNumberFormat="1" applyFont="1" applyFill="1" applyBorder="1" applyAlignment="1">
      <alignment horizontal="center"/>
    </xf>
    <xf numFmtId="0" fontId="3" fillId="2" borderId="0" xfId="3" applyFont="1" applyFill="1" applyAlignment="1">
      <alignment horizontal="center" vertical="center"/>
    </xf>
    <xf numFmtId="0" fontId="4" fillId="0" borderId="2" xfId="0" applyFont="1" applyBorder="1"/>
    <xf numFmtId="49" fontId="1" fillId="2" borderId="3" xfId="3" applyNumberFormat="1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/>
    </xf>
    <xf numFmtId="49" fontId="6" fillId="2" borderId="4" xfId="3" applyNumberFormat="1" applyFont="1" applyFill="1" applyBorder="1" applyAlignment="1">
      <alignment horizontal="center" vertical="center"/>
    </xf>
    <xf numFmtId="49" fontId="1" fillId="2" borderId="2" xfId="3" applyNumberFormat="1" applyFont="1" applyFill="1" applyBorder="1" applyAlignment="1">
      <alignment horizontal="center" vertical="center"/>
    </xf>
    <xf numFmtId="0" fontId="1" fillId="2" borderId="2" xfId="3" applyFont="1" applyFill="1" applyBorder="1" applyAlignment="1">
      <alignment horizontal="center" vertical="center" wrapText="1"/>
    </xf>
    <xf numFmtId="49" fontId="1" fillId="2" borderId="2" xfId="3" applyNumberFormat="1" applyFont="1" applyFill="1" applyBorder="1" applyAlignment="1">
      <alignment horizontal="center" vertical="center" wrapText="1"/>
    </xf>
    <xf numFmtId="0" fontId="1" fillId="2" borderId="2" xfId="3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6" fillId="4" borderId="2" xfId="0" applyFont="1" applyFill="1" applyBorder="1"/>
    <xf numFmtId="14" fontId="6" fillId="4" borderId="2" xfId="0" applyNumberFormat="1" applyFont="1" applyFill="1" applyBorder="1" applyAlignment="1">
      <alignment horizontal="center"/>
    </xf>
    <xf numFmtId="14" fontId="8" fillId="4" borderId="2" xfId="0" applyNumberFormat="1" applyFont="1" applyFill="1" applyBorder="1" applyAlignment="1">
      <alignment horizontal="center"/>
    </xf>
    <xf numFmtId="49" fontId="9" fillId="4" borderId="2" xfId="3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/>
    <xf numFmtId="14" fontId="1" fillId="5" borderId="2" xfId="0" applyNumberFormat="1" applyFont="1" applyFill="1" applyBorder="1" applyAlignment="1">
      <alignment horizontal="center"/>
    </xf>
    <xf numFmtId="14" fontId="0" fillId="5" borderId="2" xfId="0" applyNumberFormat="1" applyFill="1" applyBorder="1"/>
    <xf numFmtId="49" fontId="9" fillId="5" borderId="2" xfId="3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/>
    <xf numFmtId="14" fontId="1" fillId="0" borderId="2" xfId="0" applyNumberFormat="1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6" fillId="5" borderId="2" xfId="0" applyFont="1" applyFill="1" applyBorder="1"/>
    <xf numFmtId="14" fontId="1" fillId="5" borderId="2" xfId="0" applyNumberFormat="1" applyFont="1" applyFill="1" applyBorder="1"/>
    <xf numFmtId="14" fontId="3" fillId="5" borderId="2" xfId="0" applyNumberFormat="1" applyFont="1" applyFill="1" applyBorder="1"/>
    <xf numFmtId="0" fontId="3" fillId="5" borderId="2" xfId="0" applyFont="1" applyFill="1" applyBorder="1" applyAlignment="1">
      <alignment horizontal="center"/>
    </xf>
    <xf numFmtId="14" fontId="1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6" fillId="3" borderId="2" xfId="0" applyFont="1" applyFill="1" applyBorder="1"/>
    <xf numFmtId="14" fontId="6" fillId="3" borderId="2" xfId="0" applyNumberFormat="1" applyFont="1" applyFill="1" applyBorder="1"/>
    <xf numFmtId="14" fontId="9" fillId="3" borderId="2" xfId="0" applyNumberFormat="1" applyFont="1" applyFill="1" applyBorder="1" applyAlignment="1">
      <alignment horizontal="center"/>
    </xf>
    <xf numFmtId="49" fontId="9" fillId="3" borderId="2" xfId="3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" fillId="3" borderId="2" xfId="0" applyFont="1" applyFill="1" applyBorder="1"/>
    <xf numFmtId="14" fontId="1" fillId="3" borderId="2" xfId="0" applyNumberFormat="1" applyFont="1" applyFill="1" applyBorder="1"/>
    <xf numFmtId="14" fontId="3" fillId="3" borderId="2" xfId="0" applyNumberFormat="1" applyFont="1" applyFill="1" applyBorder="1" applyAlignment="1">
      <alignment horizontal="center"/>
    </xf>
    <xf numFmtId="49" fontId="3" fillId="3" borderId="2" xfId="3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1" fillId="6" borderId="0" xfId="0" applyFont="1" applyFill="1"/>
    <xf numFmtId="14" fontId="1" fillId="6" borderId="2" xfId="0" applyNumberFormat="1" applyFont="1" applyFill="1" applyBorder="1"/>
    <xf numFmtId="14" fontId="3" fillId="6" borderId="2" xfId="0" applyNumberFormat="1" applyFont="1" applyFill="1" applyBorder="1" applyAlignment="1">
      <alignment horizontal="center"/>
    </xf>
    <xf numFmtId="49" fontId="9" fillId="6" borderId="2" xfId="3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4" fontId="3" fillId="5" borderId="2" xfId="0" applyNumberFormat="1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2" xfId="0" applyFont="1" applyFill="1" applyBorder="1"/>
    <xf numFmtId="14" fontId="1" fillId="7" borderId="2" xfId="0" applyNumberFormat="1" applyFont="1" applyFill="1" applyBorder="1"/>
    <xf numFmtId="14" fontId="3" fillId="7" borderId="2" xfId="0" applyNumberFormat="1" applyFont="1" applyFill="1" applyBorder="1"/>
    <xf numFmtId="0" fontId="8" fillId="7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/>
    <xf numFmtId="14" fontId="1" fillId="3" borderId="5" xfId="0" applyNumberFormat="1" applyFont="1" applyFill="1" applyBorder="1"/>
    <xf numFmtId="14" fontId="3" fillId="3" borderId="2" xfId="0" applyNumberFormat="1" applyFont="1" applyFill="1" applyBorder="1"/>
    <xf numFmtId="0" fontId="1" fillId="6" borderId="2" xfId="0" applyFont="1" applyFill="1" applyBorder="1" applyAlignment="1">
      <alignment horizontal="center"/>
    </xf>
    <xf numFmtId="0" fontId="1" fillId="6" borderId="2" xfId="0" applyFont="1" applyFill="1" applyBorder="1"/>
    <xf numFmtId="14" fontId="3" fillId="6" borderId="2" xfId="0" applyNumberFormat="1" applyFont="1" applyFill="1" applyBorder="1"/>
    <xf numFmtId="0" fontId="1" fillId="3" borderId="2" xfId="0" applyFont="1" applyFill="1" applyBorder="1" applyAlignment="1">
      <alignment horizontal="left"/>
    </xf>
    <xf numFmtId="14" fontId="4" fillId="3" borderId="2" xfId="0" applyNumberFormat="1" applyFon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left"/>
    </xf>
    <xf numFmtId="14" fontId="1" fillId="4" borderId="2" xfId="0" applyNumberFormat="1" applyFont="1" applyFill="1" applyBorder="1" applyAlignment="1">
      <alignment horizontal="center"/>
    </xf>
    <xf numFmtId="14" fontId="3" fillId="4" borderId="2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left"/>
    </xf>
    <xf numFmtId="14" fontId="1" fillId="6" borderId="2" xfId="0" applyNumberFormat="1" applyFont="1" applyFill="1" applyBorder="1" applyAlignment="1">
      <alignment horizontal="center"/>
    </xf>
    <xf numFmtId="0" fontId="1" fillId="0" borderId="2" xfId="0" applyFont="1" applyBorder="1"/>
    <xf numFmtId="0" fontId="6" fillId="0" borderId="2" xfId="0" applyFont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14" fontId="6" fillId="5" borderId="2" xfId="0" applyNumberFormat="1" applyFont="1" applyFill="1" applyBorder="1" applyAlignment="1">
      <alignment horizontal="center"/>
    </xf>
    <xf numFmtId="14" fontId="8" fillId="5" borderId="2" xfId="0" applyNumberFormat="1" applyFont="1" applyFill="1" applyBorder="1"/>
    <xf numFmtId="0" fontId="9" fillId="5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2" xfId="0" applyFont="1" applyFill="1" applyBorder="1" applyAlignment="1">
      <alignment horizontal="left"/>
    </xf>
    <xf numFmtId="14" fontId="6" fillId="6" borderId="2" xfId="0" applyNumberFormat="1" applyFont="1" applyFill="1" applyBorder="1" applyAlignment="1">
      <alignment horizontal="center"/>
    </xf>
    <xf numFmtId="14" fontId="9" fillId="6" borderId="2" xfId="0" applyNumberFormat="1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14" fontId="6" fillId="3" borderId="2" xfId="0" applyNumberFormat="1" applyFont="1" applyFill="1" applyBorder="1" applyAlignment="1">
      <alignment horizontal="center"/>
    </xf>
    <xf numFmtId="0" fontId="6" fillId="0" borderId="0" xfId="0" applyFont="1"/>
    <xf numFmtId="0" fontId="6" fillId="4" borderId="2" xfId="0" applyFont="1" applyFill="1" applyBorder="1" applyAlignment="1">
      <alignment horizontal="left"/>
    </xf>
    <xf numFmtId="0" fontId="8" fillId="4" borderId="2" xfId="0" applyFont="1" applyFill="1" applyBorder="1"/>
    <xf numFmtId="14" fontId="8" fillId="4" borderId="2" xfId="0" applyNumberFormat="1" applyFont="1" applyFill="1" applyBorder="1"/>
    <xf numFmtId="14" fontId="1" fillId="0" borderId="6" xfId="0" applyNumberFormat="1" applyFon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49" fontId="9" fillId="2" borderId="2" xfId="3" applyNumberFormat="1" applyFont="1" applyFill="1" applyBorder="1" applyAlignment="1">
      <alignment horizontal="center" vertical="center"/>
    </xf>
    <xf numFmtId="0" fontId="8" fillId="5" borderId="2" xfId="0" applyFont="1" applyFill="1" applyBorder="1"/>
    <xf numFmtId="0" fontId="8" fillId="5" borderId="2" xfId="0" applyFont="1" applyFill="1" applyBorder="1" applyAlignment="1">
      <alignment horizontal="center"/>
    </xf>
    <xf numFmtId="0" fontId="1" fillId="8" borderId="3" xfId="3" applyFont="1" applyFill="1" applyBorder="1" applyAlignment="1">
      <alignment horizontal="left" vertical="center"/>
    </xf>
    <xf numFmtId="0" fontId="1" fillId="8" borderId="7" xfId="3" applyFont="1" applyFill="1" applyBorder="1" applyAlignment="1">
      <alignment horizontal="left" vertical="center"/>
    </xf>
    <xf numFmtId="0" fontId="1" fillId="8" borderId="4" xfId="3" applyFont="1" applyFill="1" applyBorder="1" applyAlignment="1">
      <alignment horizontal="left" vertical="center"/>
    </xf>
    <xf numFmtId="0" fontId="6" fillId="9" borderId="3" xfId="0" applyNumberFormat="1" applyFont="1" applyFill="1" applyBorder="1" applyAlignment="1">
      <alignment horizontal="center"/>
    </xf>
    <xf numFmtId="0" fontId="1" fillId="8" borderId="2" xfId="3" applyNumberFormat="1" applyFont="1" applyFill="1" applyBorder="1" applyAlignment="1">
      <alignment horizontal="center" vertical="center"/>
    </xf>
    <xf numFmtId="0" fontId="3" fillId="0" borderId="0" xfId="0" applyFont="1"/>
    <xf numFmtId="0" fontId="6" fillId="2" borderId="0" xfId="0" applyFont="1" applyFill="1" applyBorder="1"/>
    <xf numFmtId="0" fontId="3" fillId="0" borderId="0" xfId="0" applyFont="1" applyAlignment="1">
      <alignment horizontal="center" vertical="center"/>
    </xf>
    <xf numFmtId="0" fontId="3" fillId="2" borderId="0" xfId="3" applyFont="1" applyFill="1"/>
    <xf numFmtId="0" fontId="1" fillId="10" borderId="2" xfId="3" applyFont="1" applyFill="1" applyBorder="1" applyAlignment="1">
      <alignment horizontal="center" vertical="center"/>
    </xf>
    <xf numFmtId="0" fontId="1" fillId="10" borderId="2" xfId="3" applyFont="1" applyFill="1" applyBorder="1" applyAlignment="1">
      <alignment horizontal="center" vertical="center" wrapText="1"/>
    </xf>
    <xf numFmtId="0" fontId="3" fillId="0" borderId="8" xfId="3" applyFont="1" applyBorder="1" applyAlignment="1">
      <alignment horizontal="left" vertical="center"/>
    </xf>
    <xf numFmtId="0" fontId="3" fillId="0" borderId="2" xfId="3" applyFont="1" applyBorder="1" applyAlignment="1">
      <alignment horizontal="center" vertical="center"/>
    </xf>
    <xf numFmtId="0" fontId="3" fillId="9" borderId="2" xfId="3" applyFont="1" applyFill="1" applyBorder="1" applyAlignment="1">
      <alignment horizontal="center" vertical="center"/>
    </xf>
    <xf numFmtId="9" fontId="3" fillId="0" borderId="2" xfId="3" applyNumberFormat="1" applyFont="1" applyBorder="1" applyAlignment="1">
      <alignment horizontal="center" vertical="center"/>
    </xf>
    <xf numFmtId="2" fontId="3" fillId="0" borderId="2" xfId="3" applyNumberFormat="1" applyFont="1" applyBorder="1" applyAlignment="1">
      <alignment horizontal="center" vertical="center"/>
    </xf>
    <xf numFmtId="0" fontId="3" fillId="5" borderId="2" xfId="0" applyFont="1" applyFill="1" applyBorder="1"/>
    <xf numFmtId="0" fontId="3" fillId="5" borderId="6" xfId="0" applyFont="1" applyFill="1" applyBorder="1"/>
    <xf numFmtId="0" fontId="6" fillId="5" borderId="0" xfId="0" applyFont="1" applyFill="1"/>
    <xf numFmtId="14" fontId="1" fillId="5" borderId="6" xfId="0" applyNumberFormat="1" applyFont="1" applyFill="1" applyBorder="1" applyAlignment="1">
      <alignment horizontal="center"/>
    </xf>
    <xf numFmtId="14" fontId="3" fillId="5" borderId="6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0" fillId="5" borderId="2" xfId="0" applyFill="1" applyBorder="1"/>
    <xf numFmtId="14" fontId="0" fillId="5" borderId="2" xfId="0" applyNumberFormat="1" applyFill="1" applyBorder="1" applyAlignment="1">
      <alignment horizontal="center"/>
    </xf>
    <xf numFmtId="0" fontId="10" fillId="0" borderId="2" xfId="0" applyFont="1" applyBorder="1"/>
    <xf numFmtId="0" fontId="1" fillId="5" borderId="7" xfId="0" applyFont="1" applyFill="1" applyBorder="1"/>
    <xf numFmtId="49" fontId="3" fillId="5" borderId="2" xfId="3" applyNumberFormat="1" applyFont="1" applyFill="1" applyBorder="1" applyAlignment="1">
      <alignment horizontal="center" vertical="center"/>
    </xf>
    <xf numFmtId="0" fontId="3" fillId="0" borderId="5" xfId="0" applyFont="1" applyBorder="1"/>
    <xf numFmtId="0" fontId="10" fillId="0" borderId="0" xfId="0" applyFont="1"/>
    <xf numFmtId="14" fontId="1" fillId="0" borderId="5" xfId="0" applyNumberFormat="1" applyFont="1" applyBorder="1" applyAlignment="1">
      <alignment horizontal="center"/>
    </xf>
    <xf numFmtId="0" fontId="1" fillId="5" borderId="2" xfId="0" applyFont="1" applyFill="1" applyBorder="1" applyAlignment="1">
      <alignment horizontal="left"/>
    </xf>
    <xf numFmtId="0" fontId="1" fillId="2" borderId="2" xfId="3" applyNumberFormat="1" applyFont="1" applyFill="1" applyBorder="1" applyAlignment="1">
      <alignment horizontal="center" vertical="center" wrapText="1"/>
    </xf>
    <xf numFmtId="0" fontId="1" fillId="2" borderId="3" xfId="3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" fillId="10" borderId="3" xfId="3" applyFont="1" applyFill="1" applyBorder="1" applyAlignment="1">
      <alignment horizontal="center" vertical="center"/>
    </xf>
    <xf numFmtId="10" fontId="3" fillId="0" borderId="2" xfId="1" applyNumberFormat="1" applyFont="1" applyBorder="1" applyAlignment="1">
      <alignment horizontal="center" vertical="center"/>
    </xf>
    <xf numFmtId="10" fontId="3" fillId="0" borderId="2" xfId="3" applyNumberFormat="1" applyFont="1" applyBorder="1" applyAlignment="1">
      <alignment horizontal="center" vertical="center"/>
    </xf>
    <xf numFmtId="10" fontId="3" fillId="0" borderId="3" xfId="3" applyNumberFormat="1" applyFont="1" applyBorder="1" applyAlignment="1">
      <alignment horizontal="center" vertical="center"/>
    </xf>
    <xf numFmtId="0" fontId="9" fillId="4" borderId="2" xfId="0" applyFont="1" applyFill="1" applyBorder="1"/>
    <xf numFmtId="14" fontId="9" fillId="4" borderId="2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" fillId="9" borderId="2" xfId="3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3" applyFont="1" applyAlignment="1">
      <alignment horizontal="left" vertical="center"/>
    </xf>
    <xf numFmtId="0" fontId="9" fillId="5" borderId="2" xfId="0" applyFont="1" applyFill="1" applyBorder="1"/>
    <xf numFmtId="14" fontId="9" fillId="5" borderId="3" xfId="0" applyNumberFormat="1" applyFont="1" applyFill="1" applyBorder="1" applyAlignment="1">
      <alignment horizontal="center"/>
    </xf>
    <xf numFmtId="14" fontId="9" fillId="5" borderId="2" xfId="0" applyNumberFormat="1" applyFont="1" applyFill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1" fillId="8" borderId="2" xfId="3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1" fillId="2" borderId="4" xfId="3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/>
    </xf>
    <xf numFmtId="0" fontId="6" fillId="11" borderId="2" xfId="0" applyFont="1" applyFill="1" applyBorder="1"/>
    <xf numFmtId="14" fontId="0" fillId="11" borderId="0" xfId="0" applyNumberFormat="1" applyFill="1" applyAlignment="1">
      <alignment horizontal="center"/>
    </xf>
    <xf numFmtId="14" fontId="0" fillId="11" borderId="2" xfId="0" applyNumberForma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/>
    </xf>
    <xf numFmtId="14" fontId="0" fillId="3" borderId="2" xfId="0" applyNumberFormat="1" applyFill="1" applyBorder="1"/>
    <xf numFmtId="0" fontId="6" fillId="5" borderId="2" xfId="0" applyFont="1" applyFill="1" applyBorder="1" applyAlignment="1">
      <alignment horizontal="center"/>
    </xf>
    <xf numFmtId="0" fontId="6" fillId="7" borderId="2" xfId="0" applyFont="1" applyFill="1" applyBorder="1"/>
    <xf numFmtId="0" fontId="6" fillId="3" borderId="2" xfId="0" applyFont="1" applyFill="1" applyBorder="1" applyAlignment="1">
      <alignment horizontal="center"/>
    </xf>
    <xf numFmtId="14" fontId="9" fillId="3" borderId="2" xfId="0" applyNumberFormat="1" applyFont="1" applyFill="1" applyBorder="1"/>
    <xf numFmtId="14" fontId="6" fillId="5" borderId="2" xfId="0" applyNumberFormat="1" applyFont="1" applyFill="1" applyBorder="1"/>
    <xf numFmtId="14" fontId="9" fillId="5" borderId="2" xfId="0" applyNumberFormat="1" applyFont="1" applyFill="1" applyBorder="1"/>
    <xf numFmtId="0" fontId="6" fillId="7" borderId="2" xfId="0" applyFont="1" applyFill="1" applyBorder="1" applyAlignment="1">
      <alignment horizontal="center"/>
    </xf>
    <xf numFmtId="14" fontId="6" fillId="7" borderId="2" xfId="0" applyNumberFormat="1" applyFont="1" applyFill="1" applyBorder="1"/>
    <xf numFmtId="14" fontId="9" fillId="7" borderId="2" xfId="0" applyNumberFormat="1" applyFont="1" applyFill="1" applyBorder="1"/>
    <xf numFmtId="0" fontId="9" fillId="7" borderId="2" xfId="0" applyFont="1" applyFill="1" applyBorder="1" applyAlignment="1">
      <alignment horizontal="center"/>
    </xf>
    <xf numFmtId="0" fontId="6" fillId="6" borderId="0" xfId="0" applyFont="1" applyFill="1"/>
    <xf numFmtId="0" fontId="7" fillId="6" borderId="2" xfId="0" applyFont="1" applyFill="1" applyBorder="1" applyAlignment="1">
      <alignment horizontal="center"/>
    </xf>
    <xf numFmtId="14" fontId="6" fillId="6" borderId="2" xfId="0" applyNumberFormat="1" applyFont="1" applyFill="1" applyBorder="1"/>
    <xf numFmtId="14" fontId="0" fillId="6" borderId="2" xfId="0" applyNumberFormat="1" applyFill="1" applyBorder="1"/>
    <xf numFmtId="14" fontId="1" fillId="0" borderId="5" xfId="0" applyNumberFormat="1" applyFont="1" applyBorder="1"/>
    <xf numFmtId="14" fontId="0" fillId="0" borderId="2" xfId="0" applyNumberFormat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3" fillId="12" borderId="2" xfId="0" applyFont="1" applyFill="1" applyBorder="1"/>
    <xf numFmtId="0" fontId="6" fillId="12" borderId="2" xfId="0" applyFont="1" applyFill="1" applyBorder="1"/>
    <xf numFmtId="14" fontId="3" fillId="12" borderId="2" xfId="0" applyNumberFormat="1" applyFon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7" borderId="2" xfId="0" applyFont="1" applyFill="1" applyBorder="1"/>
    <xf numFmtId="14" fontId="3" fillId="7" borderId="2" xfId="0" applyNumberFormat="1" applyFont="1" applyFill="1" applyBorder="1" applyAlignment="1">
      <alignment horizontal="center"/>
    </xf>
    <xf numFmtId="14" fontId="1" fillId="7" borderId="2" xfId="0" applyNumberFormat="1" applyFont="1" applyFill="1" applyBorder="1" applyAlignment="1">
      <alignment horizontal="center"/>
    </xf>
    <xf numFmtId="14" fontId="0" fillId="7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9" fillId="7" borderId="2" xfId="0" applyFont="1" applyFill="1" applyBorder="1"/>
    <xf numFmtId="14" fontId="9" fillId="7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3" fillId="0" borderId="6" xfId="0" applyFont="1" applyBorder="1"/>
    <xf numFmtId="1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9" borderId="2" xfId="3" applyFont="1" applyFill="1" applyBorder="1" applyAlignment="1">
      <alignment horizontal="center" vertical="center"/>
    </xf>
    <xf numFmtId="0" fontId="3" fillId="6" borderId="2" xfId="0" applyFont="1" applyFill="1" applyBorder="1"/>
    <xf numFmtId="14" fontId="3" fillId="0" borderId="3" xfId="0" applyNumberFormat="1" applyFont="1" applyBorder="1" applyAlignment="1">
      <alignment horizontal="center"/>
    </xf>
    <xf numFmtId="14" fontId="8" fillId="5" borderId="2" xfId="0" applyNumberFormat="1" applyFont="1" applyFill="1" applyBorder="1" applyAlignment="1">
      <alignment horizontal="center"/>
    </xf>
    <xf numFmtId="14" fontId="0" fillId="7" borderId="2" xfId="0" applyNumberFormat="1" applyFill="1" applyBorder="1"/>
    <xf numFmtId="0" fontId="8" fillId="3" borderId="2" xfId="0" applyFont="1" applyFill="1" applyBorder="1" applyAlignment="1">
      <alignment horizontal="center"/>
    </xf>
    <xf numFmtId="49" fontId="6" fillId="3" borderId="2" xfId="0" applyNumberFormat="1" applyFont="1" applyFill="1" applyBorder="1" applyAlignment="1">
      <alignment horizontal="center"/>
    </xf>
    <xf numFmtId="14" fontId="8" fillId="3" borderId="2" xfId="0" applyNumberFormat="1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4" fontId="8" fillId="6" borderId="2" xfId="0" applyNumberFormat="1" applyFont="1" applyFill="1" applyBorder="1" applyAlignment="1">
      <alignment horizontal="center"/>
    </xf>
    <xf numFmtId="49" fontId="3" fillId="6" borderId="2" xfId="3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6" borderId="2" xfId="0" applyFont="1" applyFill="1" applyBorder="1" applyAlignment="1">
      <alignment horizontal="center"/>
    </xf>
    <xf numFmtId="14" fontId="0" fillId="6" borderId="2" xfId="0" applyNumberFormat="1" applyFont="1" applyFill="1" applyBorder="1" applyAlignment="1">
      <alignment horizontal="center"/>
    </xf>
    <xf numFmtId="14" fontId="0" fillId="6" borderId="2" xfId="0" applyNumberFormat="1" applyFont="1" applyFill="1" applyBorder="1"/>
    <xf numFmtId="0" fontId="6" fillId="6" borderId="2" xfId="0" applyFont="1" applyFill="1" applyBorder="1" applyAlignment="1">
      <alignment horizontal="center"/>
    </xf>
    <xf numFmtId="14" fontId="8" fillId="6" borderId="2" xfId="0" applyNumberFormat="1" applyFont="1" applyFill="1" applyBorder="1"/>
    <xf numFmtId="0" fontId="1" fillId="13" borderId="2" xfId="0" applyFont="1" applyFill="1" applyBorder="1" applyAlignment="1">
      <alignment horizontal="center"/>
    </xf>
    <xf numFmtId="0" fontId="1" fillId="13" borderId="2" xfId="0" applyFont="1" applyFill="1" applyBorder="1"/>
    <xf numFmtId="14" fontId="1" fillId="13" borderId="2" xfId="0" applyNumberFormat="1" applyFont="1" applyFill="1" applyBorder="1" applyAlignment="1">
      <alignment horizontal="center"/>
    </xf>
    <xf numFmtId="14" fontId="0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 vertical="center"/>
    </xf>
    <xf numFmtId="0" fontId="0" fillId="13" borderId="2" xfId="0" applyFont="1" applyFill="1" applyBorder="1" applyAlignment="1">
      <alignment horizontal="center"/>
    </xf>
    <xf numFmtId="0" fontId="11" fillId="6" borderId="0" xfId="0" applyFont="1" applyFill="1"/>
    <xf numFmtId="14" fontId="0" fillId="7" borderId="2" xfId="0" applyNumberFormat="1" applyFont="1" applyFill="1" applyBorder="1"/>
    <xf numFmtId="0" fontId="0" fillId="7" borderId="2" xfId="0" applyFont="1" applyFill="1" applyBorder="1" applyAlignment="1">
      <alignment horizontal="center"/>
    </xf>
    <xf numFmtId="14" fontId="4" fillId="5" borderId="2" xfId="0" applyNumberFormat="1" applyFont="1" applyFill="1" applyBorder="1" applyAlignment="1">
      <alignment horizontal="center"/>
    </xf>
    <xf numFmtId="0" fontId="11" fillId="5" borderId="0" xfId="0" applyFont="1" applyFill="1"/>
    <xf numFmtId="0" fontId="12" fillId="5" borderId="0" xfId="0" applyFont="1" applyFill="1" applyAlignment="1">
      <alignment horizontal="left"/>
    </xf>
    <xf numFmtId="0" fontId="6" fillId="13" borderId="2" xfId="0" applyFont="1" applyFill="1" applyBorder="1" applyAlignment="1">
      <alignment horizontal="center"/>
    </xf>
    <xf numFmtId="0" fontId="6" fillId="13" borderId="2" xfId="0" applyFont="1" applyFill="1" applyBorder="1"/>
    <xf numFmtId="14" fontId="6" fillId="13" borderId="2" xfId="0" applyNumberFormat="1" applyFont="1" applyFill="1" applyBorder="1" applyAlignment="1">
      <alignment horizontal="center"/>
    </xf>
    <xf numFmtId="14" fontId="8" fillId="13" borderId="2" xfId="0" applyNumberFormat="1" applyFont="1" applyFill="1" applyBorder="1"/>
    <xf numFmtId="0" fontId="8" fillId="13" borderId="2" xfId="0" applyFont="1" applyFill="1" applyBorder="1" applyAlignment="1">
      <alignment horizontal="center"/>
    </xf>
    <xf numFmtId="14" fontId="9" fillId="6" borderId="2" xfId="0" applyNumberFormat="1" applyFont="1" applyFill="1" applyBorder="1"/>
    <xf numFmtId="0" fontId="8" fillId="13" borderId="2" xfId="0" applyFont="1" applyFill="1" applyBorder="1"/>
    <xf numFmtId="14" fontId="0" fillId="13" borderId="2" xfId="0" applyNumberForma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49" fontId="0" fillId="5" borderId="2" xfId="0" applyNumberFormat="1" applyFill="1" applyBorder="1" applyAlignment="1">
      <alignment horizontal="center"/>
    </xf>
    <xf numFmtId="0" fontId="0" fillId="5" borderId="2" xfId="0" applyFont="1" applyFill="1" applyBorder="1"/>
    <xf numFmtId="14" fontId="0" fillId="5" borderId="2" xfId="0" applyNumberFormat="1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0" fillId="7" borderId="2" xfId="0" applyFont="1" applyFill="1" applyBorder="1"/>
    <xf numFmtId="14" fontId="0" fillId="7" borderId="2" xfId="0" applyNumberFormat="1" applyFont="1" applyFill="1" applyBorder="1" applyAlignment="1">
      <alignment horizontal="center"/>
    </xf>
    <xf numFmtId="14" fontId="6" fillId="7" borderId="2" xfId="0" applyNumberFormat="1" applyFont="1" applyFill="1" applyBorder="1" applyAlignment="1">
      <alignment horizontal="center"/>
    </xf>
    <xf numFmtId="14" fontId="1" fillId="13" borderId="2" xfId="0" applyNumberFormat="1" applyFont="1" applyFill="1" applyBorder="1"/>
    <xf numFmtId="14" fontId="0" fillId="13" borderId="2" xfId="0" applyNumberFormat="1" applyFill="1" applyBorder="1"/>
    <xf numFmtId="0" fontId="6" fillId="2" borderId="2" xfId="0" applyFont="1" applyFill="1" applyBorder="1"/>
    <xf numFmtId="0" fontId="7" fillId="5" borderId="2" xfId="0" applyFont="1" applyFill="1" applyBorder="1" applyAlignment="1">
      <alignment horizontal="center"/>
    </xf>
    <xf numFmtId="49" fontId="0" fillId="6" borderId="2" xfId="0" applyNumberFormat="1" applyFill="1" applyBorder="1"/>
    <xf numFmtId="0" fontId="6" fillId="7" borderId="2" xfId="0" applyFont="1" applyFill="1" applyBorder="1" applyAlignment="1">
      <alignment horizontal="left"/>
    </xf>
    <xf numFmtId="14" fontId="8" fillId="7" borderId="2" xfId="0" applyNumberFormat="1" applyFont="1" applyFill="1" applyBorder="1"/>
    <xf numFmtId="0" fontId="8" fillId="7" borderId="2" xfId="0" applyFont="1" applyFill="1" applyBorder="1"/>
    <xf numFmtId="0" fontId="7" fillId="7" borderId="2" xfId="0" applyFont="1" applyFill="1" applyBorder="1" applyAlignment="1">
      <alignment horizontal="center"/>
    </xf>
    <xf numFmtId="0" fontId="13" fillId="6" borderId="0" xfId="0" applyFont="1" applyFill="1"/>
    <xf numFmtId="0" fontId="0" fillId="3" borderId="2" xfId="0" applyFill="1" applyBorder="1"/>
    <xf numFmtId="0" fontId="8" fillId="6" borderId="2" xfId="0" applyFont="1" applyFill="1" applyBorder="1"/>
    <xf numFmtId="14" fontId="9" fillId="6" borderId="0" xfId="0" applyNumberFormat="1" applyFont="1" applyFill="1" applyAlignment="1">
      <alignment horizontal="center"/>
    </xf>
    <xf numFmtId="0" fontId="0" fillId="7" borderId="2" xfId="0" applyFill="1" applyBorder="1"/>
    <xf numFmtId="0" fontId="0" fillId="3" borderId="2" xfId="0" applyFont="1" applyFill="1" applyBorder="1"/>
    <xf numFmtId="14" fontId="0" fillId="3" borderId="2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14" borderId="2" xfId="0" applyFill="1" applyBorder="1"/>
    <xf numFmtId="0" fontId="6" fillId="14" borderId="2" xfId="0" applyFont="1" applyFill="1" applyBorder="1"/>
    <xf numFmtId="14" fontId="3" fillId="14" borderId="2" xfId="0" applyNumberFormat="1" applyFont="1" applyFill="1" applyBorder="1" applyAlignment="1">
      <alignment horizontal="center"/>
    </xf>
    <xf numFmtId="14" fontId="0" fillId="14" borderId="2" xfId="0" applyNumberForma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49" fontId="1" fillId="0" borderId="2" xfId="0" applyNumberFormat="1" applyFont="1" applyBorder="1"/>
    <xf numFmtId="0" fontId="10" fillId="7" borderId="2" xfId="0" applyFont="1" applyFill="1" applyBorder="1"/>
    <xf numFmtId="14" fontId="0" fillId="0" borderId="0" xfId="0" applyNumberFormat="1"/>
    <xf numFmtId="0" fontId="8" fillId="3" borderId="2" xfId="0" applyFont="1" applyFill="1" applyBorder="1"/>
    <xf numFmtId="0" fontId="0" fillId="6" borderId="2" xfId="0" applyFill="1" applyBorder="1"/>
    <xf numFmtId="14" fontId="0" fillId="6" borderId="2" xfId="0" applyNumberFormat="1" applyFill="1" applyBorder="1" applyAlignment="1">
      <alignment horizontal="center"/>
    </xf>
    <xf numFmtId="0" fontId="0" fillId="0" borderId="2" xfId="0" applyFont="1" applyBorder="1"/>
    <xf numFmtId="0" fontId="0" fillId="0" borderId="2" xfId="0" applyFont="1" applyBorder="1" applyAlignment="1">
      <alignment horizontal="center"/>
    </xf>
    <xf numFmtId="0" fontId="1" fillId="2" borderId="2" xfId="0" applyFont="1" applyFill="1" applyBorder="1"/>
    <xf numFmtId="0" fontId="1" fillId="0" borderId="2" xfId="0" applyFont="1" applyBorder="1" applyAlignment="1">
      <alignment horizontal="left"/>
    </xf>
    <xf numFmtId="0" fontId="8" fillId="2" borderId="2" xfId="0" applyFont="1" applyFill="1" applyBorder="1"/>
    <xf numFmtId="0" fontId="10" fillId="2" borderId="2" xfId="0" applyFont="1" applyFill="1" applyBorder="1"/>
    <xf numFmtId="14" fontId="0" fillId="2" borderId="2" xfId="0" applyNumberFormat="1" applyFill="1" applyBorder="1"/>
    <xf numFmtId="0" fontId="0" fillId="13" borderId="2" xfId="0" applyFill="1" applyBorder="1"/>
    <xf numFmtId="0" fontId="0" fillId="12" borderId="2" xfId="0" applyFill="1" applyBorder="1"/>
    <xf numFmtId="0" fontId="1" fillId="12" borderId="2" xfId="0" applyFont="1" applyFill="1" applyBorder="1"/>
    <xf numFmtId="14" fontId="1" fillId="12" borderId="2" xfId="0" applyNumberFormat="1" applyFont="1" applyFill="1" applyBorder="1"/>
    <xf numFmtId="14" fontId="0" fillId="12" borderId="2" xfId="0" applyNumberFormat="1" applyFill="1" applyBorder="1"/>
    <xf numFmtId="0" fontId="13" fillId="5" borderId="0" xfId="0" applyFont="1" applyFill="1"/>
    <xf numFmtId="0" fontId="0" fillId="15" borderId="2" xfId="0" applyFill="1" applyBorder="1"/>
    <xf numFmtId="0" fontId="1" fillId="15" borderId="2" xfId="0" applyFont="1" applyFill="1" applyBorder="1"/>
    <xf numFmtId="49" fontId="1" fillId="15" borderId="2" xfId="0" applyNumberFormat="1" applyFont="1" applyFill="1" applyBorder="1"/>
    <xf numFmtId="14" fontId="0" fillId="15" borderId="2" xfId="0" applyNumberFormat="1" applyFill="1" applyBorder="1"/>
    <xf numFmtId="0" fontId="0" fillId="15" borderId="2" xfId="0" applyFill="1" applyBorder="1" applyAlignment="1">
      <alignment horizontal="center"/>
    </xf>
    <xf numFmtId="49" fontId="0" fillId="5" borderId="2" xfId="0" applyNumberFormat="1" applyFill="1" applyBorder="1"/>
    <xf numFmtId="49" fontId="0" fillId="0" borderId="2" xfId="0" applyNumberFormat="1" applyBorder="1"/>
    <xf numFmtId="14" fontId="0" fillId="5" borderId="2" xfId="0" applyNumberFormat="1" applyFill="1" applyBorder="1" applyAlignment="1"/>
    <xf numFmtId="14" fontId="0" fillId="0" borderId="2" xfId="0" applyNumberFormat="1" applyBorder="1"/>
    <xf numFmtId="0" fontId="9" fillId="5" borderId="3" xfId="0" applyFont="1" applyFill="1" applyBorder="1" applyAlignment="1">
      <alignment horizontal="center"/>
    </xf>
    <xf numFmtId="14" fontId="9" fillId="5" borderId="7" xfId="0" applyNumberFormat="1" applyFont="1" applyFill="1" applyBorder="1" applyAlignment="1">
      <alignment horizontal="center"/>
    </xf>
    <xf numFmtId="14" fontId="9" fillId="5" borderId="3" xfId="0" applyNumberFormat="1" applyFont="1" applyFill="1" applyBorder="1"/>
    <xf numFmtId="0" fontId="6" fillId="5" borderId="3" xfId="0" applyFont="1" applyFill="1" applyBorder="1" applyAlignment="1">
      <alignment horizontal="center"/>
    </xf>
    <xf numFmtId="0" fontId="9" fillId="5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4" fontId="3" fillId="3" borderId="4" xfId="0" applyNumberFormat="1" applyFont="1" applyFill="1" applyBorder="1" applyAlignment="1">
      <alignment horizontal="center"/>
    </xf>
    <xf numFmtId="0" fontId="0" fillId="3" borderId="2" xfId="0" applyNumberFormat="1" applyFill="1" applyBorder="1" applyAlignment="1">
      <alignment horizontal="center"/>
    </xf>
    <xf numFmtId="14" fontId="8" fillId="3" borderId="2" xfId="0" applyNumberFormat="1" applyFont="1" applyFill="1" applyBorder="1"/>
    <xf numFmtId="14" fontId="3" fillId="6" borderId="0" xfId="0" applyNumberFormat="1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14" fontId="0" fillId="5" borderId="2" xfId="0" applyNumberFormat="1" applyFont="1" applyFill="1" applyBorder="1"/>
    <xf numFmtId="0" fontId="14" fillId="0" borderId="0" xfId="0" applyFont="1"/>
    <xf numFmtId="0" fontId="1" fillId="5" borderId="0" xfId="0" applyFont="1" applyFill="1"/>
    <xf numFmtId="0" fontId="10" fillId="0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0" fillId="0" borderId="6" xfId="0" applyFont="1" applyFill="1" applyBorder="1"/>
    <xf numFmtId="14" fontId="0" fillId="0" borderId="6" xfId="0" applyNumberFormat="1" applyBorder="1"/>
    <xf numFmtId="0" fontId="6" fillId="5" borderId="3" xfId="0" applyFont="1" applyFill="1" applyBorder="1"/>
    <xf numFmtId="0" fontId="0" fillId="2" borderId="2" xfId="0" applyFill="1" applyBorder="1"/>
    <xf numFmtId="14" fontId="0" fillId="2" borderId="2" xfId="0" applyNumberFormat="1" applyFill="1" applyBorder="1" applyAlignment="1">
      <alignment horizontal="center"/>
    </xf>
    <xf numFmtId="49" fontId="3" fillId="2" borderId="2" xfId="3" applyNumberFormat="1" applyFont="1" applyFill="1" applyBorder="1" applyAlignment="1">
      <alignment horizontal="center" vertical="center"/>
    </xf>
    <xf numFmtId="0" fontId="8" fillId="16" borderId="2" xfId="0" applyFont="1" applyFill="1" applyBorder="1"/>
    <xf numFmtId="0" fontId="6" fillId="16" borderId="2" xfId="0" applyFont="1" applyFill="1" applyBorder="1"/>
    <xf numFmtId="14" fontId="8" fillId="16" borderId="2" xfId="0" applyNumberFormat="1" applyFont="1" applyFill="1" applyBorder="1" applyAlignment="1">
      <alignment horizontal="center"/>
    </xf>
    <xf numFmtId="14" fontId="8" fillId="16" borderId="2" xfId="0" applyNumberFormat="1" applyFont="1" applyFill="1" applyBorder="1"/>
    <xf numFmtId="0" fontId="8" fillId="16" borderId="2" xfId="0" applyFont="1" applyFill="1" applyBorder="1" applyAlignment="1">
      <alignment horizontal="center"/>
    </xf>
    <xf numFmtId="0" fontId="8" fillId="17" borderId="2" xfId="0" applyFont="1" applyFill="1" applyBorder="1" applyAlignment="1">
      <alignment horizontal="center"/>
    </xf>
    <xf numFmtId="0" fontId="6" fillId="17" borderId="3" xfId="0" applyFont="1" applyFill="1" applyBorder="1"/>
    <xf numFmtId="14" fontId="9" fillId="17" borderId="2" xfId="0" applyNumberFormat="1" applyFont="1" applyFill="1" applyBorder="1" applyAlignment="1">
      <alignment horizontal="center"/>
    </xf>
    <xf numFmtId="14" fontId="8" fillId="17" borderId="2" xfId="0" applyNumberFormat="1" applyFont="1" applyFill="1" applyBorder="1"/>
    <xf numFmtId="0" fontId="8" fillId="17" borderId="2" xfId="0" applyFont="1" applyFill="1" applyBorder="1"/>
    <xf numFmtId="0" fontId="8" fillId="17" borderId="2" xfId="0" applyNumberFormat="1" applyFont="1" applyFill="1" applyBorder="1" applyAlignment="1">
      <alignment horizontal="center"/>
    </xf>
    <xf numFmtId="0" fontId="9" fillId="3" borderId="10" xfId="3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left" vertical="center"/>
    </xf>
    <xf numFmtId="49" fontId="9" fillId="3" borderId="1" xfId="3" applyNumberFormat="1" applyFont="1" applyFill="1" applyBorder="1" applyAlignment="1">
      <alignment horizontal="center" vertical="center"/>
    </xf>
    <xf numFmtId="0" fontId="9" fillId="5" borderId="3" xfId="3" applyFont="1" applyFill="1" applyBorder="1" applyAlignment="1">
      <alignment horizontal="center" vertical="center"/>
    </xf>
    <xf numFmtId="0" fontId="6" fillId="5" borderId="2" xfId="2" applyFont="1" applyFill="1" applyBorder="1" applyAlignment="1">
      <alignment horizontal="left" vertical="center"/>
    </xf>
    <xf numFmtId="49" fontId="9" fillId="5" borderId="7" xfId="3" applyNumberFormat="1" applyFont="1" applyFill="1" applyBorder="1" applyAlignment="1">
      <alignment horizontal="center" vertical="center"/>
    </xf>
    <xf numFmtId="0" fontId="0" fillId="5" borderId="2" xfId="0" applyNumberForma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14" fontId="9" fillId="6" borderId="4" xfId="0" applyNumberFormat="1" applyFont="1" applyFill="1" applyBorder="1" applyAlignment="1">
      <alignment horizontal="center"/>
    </xf>
    <xf numFmtId="49" fontId="3" fillId="6" borderId="3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14" fontId="9" fillId="2" borderId="7" xfId="0" applyNumberFormat="1" applyFont="1" applyFill="1" applyBorder="1" applyAlignment="1">
      <alignment horizontal="center"/>
    </xf>
    <xf numFmtId="0" fontId="3" fillId="2" borderId="3" xfId="0" applyFont="1" applyFill="1" applyBorder="1"/>
    <xf numFmtId="0" fontId="10" fillId="2" borderId="3" xfId="0" applyFont="1" applyFill="1" applyBorder="1" applyAlignment="1">
      <alignment horizontal="center"/>
    </xf>
    <xf numFmtId="0" fontId="3" fillId="2" borderId="3" xfId="0" applyNumberFormat="1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14" fontId="9" fillId="3" borderId="7" xfId="0" applyNumberFormat="1" applyFont="1" applyFill="1" applyBorder="1" applyAlignment="1">
      <alignment horizontal="center"/>
    </xf>
    <xf numFmtId="14" fontId="9" fillId="6" borderId="7" xfId="0" applyNumberFormat="1" applyFont="1" applyFill="1" applyBorder="1" applyAlignment="1">
      <alignment horizontal="center"/>
    </xf>
    <xf numFmtId="14" fontId="9" fillId="6" borderId="3" xfId="0" applyNumberFormat="1" applyFont="1" applyFill="1" applyBorder="1"/>
    <xf numFmtId="0" fontId="9" fillId="6" borderId="3" xfId="0" applyNumberFormat="1" applyFont="1" applyFill="1" applyBorder="1" applyAlignment="1">
      <alignment horizontal="center"/>
    </xf>
    <xf numFmtId="0" fontId="0" fillId="3" borderId="3" xfId="0" applyFill="1" applyBorder="1"/>
    <xf numFmtId="0" fontId="15" fillId="3" borderId="2" xfId="0" applyFont="1" applyFill="1" applyBorder="1"/>
    <xf numFmtId="14" fontId="9" fillId="3" borderId="4" xfId="0" applyNumberFormat="1" applyFont="1" applyFill="1" applyBorder="1" applyAlignment="1">
      <alignment horizontal="center"/>
    </xf>
    <xf numFmtId="0" fontId="0" fillId="6" borderId="3" xfId="0" applyFill="1" applyBorder="1"/>
    <xf numFmtId="0" fontId="0" fillId="6" borderId="2" xfId="0" applyNumberFormat="1" applyFill="1" applyBorder="1" applyAlignment="1">
      <alignment horizontal="center"/>
    </xf>
    <xf numFmtId="0" fontId="3" fillId="7" borderId="3" xfId="0" applyFont="1" applyFill="1" applyBorder="1"/>
    <xf numFmtId="14" fontId="3" fillId="7" borderId="4" xfId="0" applyNumberFormat="1" applyFont="1" applyFill="1" applyBorder="1" applyAlignment="1">
      <alignment horizontal="center"/>
    </xf>
    <xf numFmtId="0" fontId="0" fillId="7" borderId="2" xfId="0" applyNumberFormat="1" applyFill="1" applyBorder="1" applyAlignment="1">
      <alignment horizontal="center"/>
    </xf>
    <xf numFmtId="0" fontId="3" fillId="0" borderId="3" xfId="0" applyFont="1" applyBorder="1"/>
    <xf numFmtId="14" fontId="3" fillId="0" borderId="4" xfId="0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3" fillId="3" borderId="2" xfId="0" applyFont="1" applyFill="1" applyBorder="1"/>
    <xf numFmtId="14" fontId="0" fillId="3" borderId="2" xfId="0" applyNumberFormat="1" applyFont="1" applyFill="1" applyBorder="1"/>
    <xf numFmtId="0" fontId="1" fillId="7" borderId="3" xfId="0" applyFont="1" applyFill="1" applyBorder="1"/>
    <xf numFmtId="14" fontId="3" fillId="2" borderId="2" xfId="0" applyNumberFormat="1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0" fillId="2" borderId="2" xfId="0" applyNumberFormat="1" applyFill="1" applyBorder="1" applyAlignment="1">
      <alignment horizontal="center"/>
    </xf>
    <xf numFmtId="0" fontId="6" fillId="5" borderId="9" xfId="0" applyFont="1" applyFill="1" applyBorder="1"/>
    <xf numFmtId="0" fontId="8" fillId="18" borderId="2" xfId="0" applyFont="1" applyFill="1" applyBorder="1"/>
    <xf numFmtId="0" fontId="6" fillId="18" borderId="2" xfId="0" applyFont="1" applyFill="1" applyBorder="1"/>
    <xf numFmtId="14" fontId="9" fillId="18" borderId="2" xfId="0" applyNumberFormat="1" applyFont="1" applyFill="1" applyBorder="1" applyAlignment="1">
      <alignment horizontal="center"/>
    </xf>
    <xf numFmtId="14" fontId="8" fillId="18" borderId="2" xfId="0" applyNumberFormat="1" applyFont="1" applyFill="1" applyBorder="1"/>
    <xf numFmtId="49" fontId="9" fillId="18" borderId="2" xfId="3" applyNumberFormat="1" applyFont="1" applyFill="1" applyBorder="1" applyAlignment="1">
      <alignment horizontal="center" vertical="center"/>
    </xf>
    <xf numFmtId="0" fontId="8" fillId="18" borderId="2" xfId="0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1" fillId="10" borderId="4" xfId="3" applyFont="1" applyFill="1" applyBorder="1" applyAlignment="1">
      <alignment horizontal="center" vertical="center"/>
    </xf>
    <xf numFmtId="0" fontId="9" fillId="19" borderId="5" xfId="3" applyFont="1" applyFill="1" applyBorder="1" applyAlignment="1">
      <alignment horizontal="center" vertical="center"/>
    </xf>
    <xf numFmtId="0" fontId="6" fillId="19" borderId="2" xfId="0" applyFont="1" applyFill="1" applyBorder="1"/>
    <xf numFmtId="49" fontId="9" fillId="19" borderId="10" xfId="3" applyNumberFormat="1" applyFont="1" applyFill="1" applyBorder="1" applyAlignment="1">
      <alignment horizontal="center" vertical="center"/>
    </xf>
    <xf numFmtId="14" fontId="0" fillId="19" borderId="2" xfId="0" applyNumberFormat="1" applyFill="1" applyBorder="1"/>
    <xf numFmtId="0" fontId="0" fillId="19" borderId="2" xfId="0" applyFill="1" applyBorder="1"/>
    <xf numFmtId="0" fontId="0" fillId="19" borderId="2" xfId="0" applyFill="1" applyBorder="1" applyAlignment="1">
      <alignment horizontal="center"/>
    </xf>
    <xf numFmtId="0" fontId="0" fillId="19" borderId="2" xfId="0" applyNumberFormat="1" applyFill="1" applyBorder="1" applyAlignment="1">
      <alignment horizontal="center"/>
    </xf>
    <xf numFmtId="0" fontId="3" fillId="5" borderId="2" xfId="3" applyFont="1" applyFill="1" applyBorder="1" applyAlignment="1">
      <alignment horizontal="center" vertical="center"/>
    </xf>
    <xf numFmtId="49" fontId="3" fillId="5" borderId="3" xfId="3" applyNumberFormat="1" applyFont="1" applyFill="1" applyBorder="1" applyAlignment="1">
      <alignment horizontal="center" vertical="center"/>
    </xf>
    <xf numFmtId="0" fontId="0" fillId="5" borderId="2" xfId="0" applyNumberFormat="1" applyFont="1" applyFill="1" applyBorder="1" applyAlignment="1">
      <alignment horizontal="center"/>
    </xf>
    <xf numFmtId="0" fontId="9" fillId="19" borderId="2" xfId="0" applyFont="1" applyFill="1" applyBorder="1" applyAlignment="1">
      <alignment horizontal="center"/>
    </xf>
    <xf numFmtId="14" fontId="9" fillId="19" borderId="2" xfId="0" applyNumberFormat="1" applyFont="1" applyFill="1" applyBorder="1" applyAlignment="1">
      <alignment horizontal="center"/>
    </xf>
    <xf numFmtId="49" fontId="3" fillId="19" borderId="3" xfId="3" applyNumberFormat="1" applyFont="1" applyFill="1" applyBorder="1" applyAlignment="1">
      <alignment horizontal="center" vertical="center"/>
    </xf>
    <xf numFmtId="0" fontId="3" fillId="19" borderId="3" xfId="3" applyNumberFormat="1" applyFont="1" applyFill="1" applyBorder="1" applyAlignment="1">
      <alignment horizontal="center" vertical="center"/>
    </xf>
    <xf numFmtId="14" fontId="9" fillId="7" borderId="3" xfId="0" applyNumberFormat="1" applyFont="1" applyFill="1" applyBorder="1" applyAlignment="1">
      <alignment horizontal="center"/>
    </xf>
    <xf numFmtId="14" fontId="3" fillId="7" borderId="3" xfId="0" applyNumberFormat="1" applyFont="1" applyFill="1" applyBorder="1"/>
    <xf numFmtId="0" fontId="3" fillId="7" borderId="3" xfId="0" applyFont="1" applyFill="1" applyBorder="1" applyAlignment="1">
      <alignment horizontal="center"/>
    </xf>
    <xf numFmtId="0" fontId="3" fillId="7" borderId="3" xfId="0" applyNumberFormat="1" applyFont="1" applyFill="1" applyBorder="1" applyAlignment="1">
      <alignment horizontal="center"/>
    </xf>
    <xf numFmtId="0" fontId="6" fillId="7" borderId="3" xfId="0" applyFont="1" applyFill="1" applyBorder="1"/>
    <xf numFmtId="0" fontId="9" fillId="9" borderId="2" xfId="0" applyFont="1" applyFill="1" applyBorder="1" applyAlignment="1">
      <alignment horizontal="center"/>
    </xf>
    <xf numFmtId="0" fontId="6" fillId="9" borderId="3" xfId="0" applyFont="1" applyFill="1" applyBorder="1"/>
    <xf numFmtId="14" fontId="9" fillId="9" borderId="3" xfId="0" applyNumberFormat="1" applyFont="1" applyFill="1" applyBorder="1" applyAlignment="1">
      <alignment horizontal="center"/>
    </xf>
    <xf numFmtId="14" fontId="3" fillId="9" borderId="3" xfId="0" applyNumberFormat="1" applyFont="1" applyFill="1" applyBorder="1"/>
    <xf numFmtId="0" fontId="0" fillId="9" borderId="2" xfId="0" applyFill="1" applyBorder="1"/>
    <xf numFmtId="0" fontId="3" fillId="9" borderId="3" xfId="0" applyFont="1" applyFill="1" applyBorder="1" applyAlignment="1">
      <alignment horizontal="center"/>
    </xf>
    <xf numFmtId="0" fontId="3" fillId="9" borderId="3" xfId="0" applyNumberFormat="1" applyFont="1" applyFill="1" applyBorder="1" applyAlignment="1">
      <alignment horizontal="center"/>
    </xf>
    <xf numFmtId="0" fontId="8" fillId="5" borderId="2" xfId="0" applyNumberFormat="1" applyFont="1" applyFill="1" applyBorder="1" applyAlignment="1">
      <alignment horizontal="center"/>
    </xf>
    <xf numFmtId="0" fontId="3" fillId="3" borderId="10" xfId="3" applyNumberFormat="1" applyFont="1" applyFill="1" applyBorder="1" applyAlignment="1">
      <alignment horizontal="center" vertical="center"/>
    </xf>
    <xf numFmtId="0" fontId="3" fillId="3" borderId="5" xfId="3" applyNumberFormat="1" applyFont="1" applyFill="1" applyBorder="1" applyAlignment="1">
      <alignment horizontal="center" vertical="center"/>
    </xf>
    <xf numFmtId="0" fontId="3" fillId="5" borderId="3" xfId="3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19" borderId="10" xfId="3" applyNumberFormat="1" applyFont="1" applyFill="1" applyBorder="1" applyAlignment="1">
      <alignment horizontal="center" vertical="center"/>
    </xf>
    <xf numFmtId="0" fontId="3" fillId="19" borderId="5" xfId="3" applyNumberFormat="1" applyFont="1" applyFill="1" applyBorder="1" applyAlignment="1">
      <alignment horizontal="center" vertical="center"/>
    </xf>
    <xf numFmtId="0" fontId="3" fillId="19" borderId="3" xfId="3" applyFont="1" applyFill="1" applyBorder="1" applyAlignment="1">
      <alignment horizontal="center" vertical="center"/>
    </xf>
    <xf numFmtId="0" fontId="3" fillId="19" borderId="10" xfId="0" applyFont="1" applyFill="1" applyBorder="1" applyAlignment="1">
      <alignment horizontal="center"/>
    </xf>
    <xf numFmtId="0" fontId="3" fillId="19" borderId="5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2" xfId="0" applyFont="1" applyFill="1" applyBorder="1"/>
    <xf numFmtId="0" fontId="6" fillId="9" borderId="2" xfId="0" applyFont="1" applyFill="1" applyBorder="1"/>
    <xf numFmtId="14" fontId="3" fillId="9" borderId="2" xfId="0" applyNumberFormat="1" applyFont="1" applyFill="1" applyBorder="1" applyAlignment="1">
      <alignment horizontal="center"/>
    </xf>
    <xf numFmtId="14" fontId="0" fillId="9" borderId="2" xfId="0" applyNumberFormat="1" applyFill="1" applyBorder="1"/>
    <xf numFmtId="0" fontId="0" fillId="9" borderId="2" xfId="0" applyFill="1" applyBorder="1" applyAlignment="1">
      <alignment horizontal="center"/>
    </xf>
    <xf numFmtId="0" fontId="0" fillId="9" borderId="2" xfId="0" applyNumberFormat="1" applyFill="1" applyBorder="1" applyAlignment="1">
      <alignment horizontal="center"/>
    </xf>
    <xf numFmtId="0" fontId="6" fillId="2" borderId="3" xfId="0" applyFont="1" applyFill="1" applyBorder="1"/>
    <xf numFmtId="0" fontId="9" fillId="5" borderId="5" xfId="3" applyFont="1" applyFill="1" applyBorder="1" applyAlignment="1">
      <alignment horizontal="center" vertical="center"/>
    </xf>
    <xf numFmtId="0" fontId="6" fillId="5" borderId="0" xfId="2" applyFont="1" applyFill="1" applyBorder="1" applyAlignment="1">
      <alignment horizontal="left" vertical="center"/>
    </xf>
    <xf numFmtId="49" fontId="9" fillId="5" borderId="10" xfId="3" applyNumberFormat="1" applyFont="1" applyFill="1" applyBorder="1" applyAlignment="1">
      <alignment horizontal="center" vertical="center"/>
    </xf>
    <xf numFmtId="0" fontId="9" fillId="5" borderId="2" xfId="3" applyFont="1" applyFill="1" applyBorder="1" applyAlignment="1">
      <alignment horizontal="center" vertical="center"/>
    </xf>
    <xf numFmtId="0" fontId="6" fillId="5" borderId="11" xfId="2" applyFont="1" applyFill="1" applyBorder="1" applyAlignment="1">
      <alignment horizontal="left" vertical="center"/>
    </xf>
    <xf numFmtId="49" fontId="9" fillId="5" borderId="3" xfId="3" applyNumberFormat="1" applyFont="1" applyFill="1" applyBorder="1" applyAlignment="1">
      <alignment horizontal="center" vertical="center"/>
    </xf>
    <xf numFmtId="0" fontId="6" fillId="6" borderId="3" xfId="0" applyFont="1" applyFill="1" applyBorder="1"/>
    <xf numFmtId="14" fontId="9" fillId="6" borderId="3" xfId="0" applyNumberFormat="1" applyFont="1" applyFill="1" applyBorder="1" applyAlignment="1">
      <alignment horizontal="center"/>
    </xf>
    <xf numFmtId="14" fontId="3" fillId="6" borderId="3" xfId="0" applyNumberFormat="1" applyFont="1" applyFill="1" applyBorder="1"/>
    <xf numFmtId="0" fontId="3" fillId="6" borderId="3" xfId="0" applyFont="1" applyFill="1" applyBorder="1" applyAlignment="1">
      <alignment horizontal="center"/>
    </xf>
    <xf numFmtId="0" fontId="3" fillId="6" borderId="3" xfId="0" applyNumberFormat="1" applyFont="1" applyFill="1" applyBorder="1" applyAlignment="1">
      <alignment horizontal="center"/>
    </xf>
    <xf numFmtId="14" fontId="3" fillId="5" borderId="3" xfId="0" applyNumberFormat="1" applyFont="1" applyFill="1" applyBorder="1"/>
    <xf numFmtId="0" fontId="3" fillId="5" borderId="3" xfId="0" applyFont="1" applyFill="1" applyBorder="1" applyAlignment="1">
      <alignment horizontal="center"/>
    </xf>
    <xf numFmtId="0" fontId="3" fillId="5" borderId="3" xfId="0" applyNumberFormat="1" applyFont="1" applyFill="1" applyBorder="1" applyAlignment="1">
      <alignment horizontal="center"/>
    </xf>
    <xf numFmtId="14" fontId="9" fillId="0" borderId="2" xfId="0" applyNumberFormat="1" applyFont="1" applyBorder="1" applyAlignment="1">
      <alignment horizontal="center"/>
    </xf>
    <xf numFmtId="0" fontId="3" fillId="5" borderId="10" xfId="3" applyNumberFormat="1" applyFont="1" applyFill="1" applyBorder="1" applyAlignment="1">
      <alignment horizontal="center" vertical="center"/>
    </xf>
    <xf numFmtId="0" fontId="3" fillId="5" borderId="5" xfId="3" applyNumberFormat="1" applyFont="1" applyFill="1" applyBorder="1" applyAlignment="1">
      <alignment horizontal="center" vertical="center"/>
    </xf>
    <xf numFmtId="0" fontId="3" fillId="5" borderId="3" xfId="3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4" fillId="0" borderId="0" xfId="0" applyFont="1"/>
    <xf numFmtId="0" fontId="9" fillId="2" borderId="5" xfId="3" applyFont="1" applyFill="1" applyBorder="1" applyAlignment="1">
      <alignment horizontal="center" vertical="center"/>
    </xf>
    <xf numFmtId="0" fontId="10" fillId="2" borderId="0" xfId="2" applyFont="1" applyFill="1" applyBorder="1" applyAlignment="1">
      <alignment horizontal="left" vertical="center"/>
    </xf>
    <xf numFmtId="49" fontId="9" fillId="2" borderId="10" xfId="3" applyNumberFormat="1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/>
    </xf>
    <xf numFmtId="0" fontId="10" fillId="2" borderId="11" xfId="2" applyFont="1" applyFill="1" applyBorder="1" applyAlignment="1">
      <alignment horizontal="left" vertical="center"/>
    </xf>
    <xf numFmtId="49" fontId="9" fillId="2" borderId="3" xfId="3" applyNumberFormat="1" applyFont="1" applyFill="1" applyBorder="1" applyAlignment="1">
      <alignment horizontal="center" vertical="center"/>
    </xf>
    <xf numFmtId="14" fontId="9" fillId="2" borderId="2" xfId="0" applyNumberFormat="1" applyFont="1" applyFill="1" applyBorder="1" applyAlignment="1">
      <alignment horizontal="center"/>
    </xf>
    <xf numFmtId="49" fontId="3" fillId="2" borderId="3" xfId="3" applyNumberFormat="1" applyFont="1" applyFill="1" applyBorder="1" applyAlignment="1">
      <alignment horizontal="center" vertical="center"/>
    </xf>
    <xf numFmtId="0" fontId="3" fillId="2" borderId="3" xfId="3" applyNumberFormat="1" applyFont="1" applyFill="1" applyBorder="1" applyAlignment="1">
      <alignment horizontal="center" vertical="center"/>
    </xf>
    <xf numFmtId="0" fontId="10" fillId="2" borderId="3" xfId="0" applyFont="1" applyFill="1" applyBorder="1"/>
    <xf numFmtId="14" fontId="9" fillId="2" borderId="3" xfId="0" applyNumberFormat="1" applyFont="1" applyFill="1" applyBorder="1" applyAlignment="1">
      <alignment horizontal="center"/>
    </xf>
    <xf numFmtId="0" fontId="6" fillId="3" borderId="3" xfId="0" applyFont="1" applyFill="1" applyBorder="1"/>
    <xf numFmtId="14" fontId="9" fillId="3" borderId="3" xfId="0" applyNumberFormat="1" applyFont="1" applyFill="1" applyBorder="1" applyAlignment="1">
      <alignment horizontal="center"/>
    </xf>
    <xf numFmtId="14" fontId="3" fillId="3" borderId="3" xfId="0" applyNumberFormat="1" applyFont="1" applyFill="1" applyBorder="1"/>
    <xf numFmtId="0" fontId="3" fillId="3" borderId="3" xfId="0" applyNumberFormat="1" applyFont="1" applyFill="1" applyBorder="1" applyAlignment="1">
      <alignment horizontal="center"/>
    </xf>
    <xf numFmtId="0" fontId="6" fillId="5" borderId="12" xfId="0" applyFont="1" applyFill="1" applyBorder="1"/>
    <xf numFmtId="0" fontId="1" fillId="5" borderId="3" xfId="0" applyFont="1" applyFill="1" applyBorder="1"/>
    <xf numFmtId="0" fontId="17" fillId="0" borderId="2" xfId="0" applyFont="1" applyBorder="1"/>
    <xf numFmtId="0" fontId="3" fillId="3" borderId="2" xfId="0" applyNumberFormat="1" applyFont="1" applyFill="1" applyBorder="1" applyAlignment="1">
      <alignment horizontal="center"/>
    </xf>
    <xf numFmtId="0" fontId="3" fillId="2" borderId="10" xfId="3" applyNumberFormat="1" applyFont="1" applyFill="1" applyBorder="1" applyAlignment="1">
      <alignment horizontal="center" vertical="center"/>
    </xf>
    <xf numFmtId="0" fontId="3" fillId="2" borderId="5" xfId="3" applyNumberFormat="1" applyFont="1" applyFill="1" applyBorder="1" applyAlignment="1">
      <alignment horizontal="center" vertical="center"/>
    </xf>
    <xf numFmtId="0" fontId="3" fillId="2" borderId="2" xfId="3" applyNumberFormat="1" applyFont="1" applyFill="1" applyBorder="1" applyAlignment="1">
      <alignment horizontal="center" vertical="center"/>
    </xf>
    <xf numFmtId="0" fontId="3" fillId="2" borderId="3" xfId="3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9" fillId="3" borderId="2" xfId="3" applyFont="1" applyFill="1" applyBorder="1" applyAlignment="1">
      <alignment horizontal="center" vertical="center"/>
    </xf>
    <xf numFmtId="0" fontId="9" fillId="3" borderId="2" xfId="0" applyFont="1" applyFill="1" applyBorder="1"/>
    <xf numFmtId="0" fontId="3" fillId="3" borderId="2" xfId="3" applyNumberFormat="1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0" fontId="6" fillId="2" borderId="0" xfId="2" applyFont="1" applyFill="1" applyBorder="1" applyAlignment="1">
      <alignment horizontal="left" vertical="center"/>
    </xf>
    <xf numFmtId="0" fontId="6" fillId="2" borderId="11" xfId="2" applyFont="1" applyFill="1" applyBorder="1" applyAlignment="1">
      <alignment horizontal="left" vertical="center"/>
    </xf>
    <xf numFmtId="0" fontId="9" fillId="6" borderId="2" xfId="3" applyFont="1" applyFill="1" applyBorder="1" applyAlignment="1">
      <alignment horizontal="center" vertical="center"/>
    </xf>
    <xf numFmtId="0" fontId="6" fillId="6" borderId="3" xfId="2" applyFont="1" applyFill="1" applyBorder="1" applyAlignment="1">
      <alignment horizontal="left" vertical="center"/>
    </xf>
    <xf numFmtId="49" fontId="9" fillId="6" borderId="3" xfId="3" applyNumberFormat="1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left" vertical="center"/>
    </xf>
    <xf numFmtId="14" fontId="9" fillId="6" borderId="3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3" fillId="6" borderId="2" xfId="3" applyFont="1" applyFill="1" applyBorder="1" applyAlignment="1">
      <alignment horizontal="center" vertical="center"/>
    </xf>
    <xf numFmtId="0" fontId="6" fillId="6" borderId="10" xfId="0" applyFont="1" applyFill="1" applyBorder="1"/>
    <xf numFmtId="14" fontId="9" fillId="6" borderId="10" xfId="0" applyNumberFormat="1" applyFont="1" applyFill="1" applyBorder="1" applyAlignment="1">
      <alignment horizontal="center"/>
    </xf>
    <xf numFmtId="0" fontId="9" fillId="6" borderId="2" xfId="3" applyNumberFormat="1" applyFont="1" applyFill="1" applyBorder="1" applyAlignment="1">
      <alignment horizontal="center" vertical="center"/>
    </xf>
    <xf numFmtId="0" fontId="9" fillId="7" borderId="2" xfId="3" applyFont="1" applyFill="1" applyBorder="1" applyAlignment="1">
      <alignment horizontal="center" vertical="center"/>
    </xf>
    <xf numFmtId="0" fontId="6" fillId="7" borderId="10" xfId="0" applyFont="1" applyFill="1" applyBorder="1"/>
    <xf numFmtId="14" fontId="9" fillId="7" borderId="10" xfId="0" applyNumberFormat="1" applyFont="1" applyFill="1" applyBorder="1" applyAlignment="1">
      <alignment horizontal="center"/>
    </xf>
    <xf numFmtId="49" fontId="3" fillId="7" borderId="2" xfId="3" applyNumberFormat="1" applyFont="1" applyFill="1" applyBorder="1" applyAlignment="1">
      <alignment horizontal="center" vertical="center"/>
    </xf>
    <xf numFmtId="0" fontId="3" fillId="7" borderId="2" xfId="3" applyNumberFormat="1" applyFont="1" applyFill="1" applyBorder="1" applyAlignment="1">
      <alignment horizontal="center" vertical="center"/>
    </xf>
    <xf numFmtId="0" fontId="3" fillId="7" borderId="2" xfId="3" applyFont="1" applyFill="1" applyBorder="1" applyAlignment="1">
      <alignment horizontal="center" vertical="center"/>
    </xf>
    <xf numFmtId="49" fontId="9" fillId="7" borderId="2" xfId="3" applyNumberFormat="1" applyFont="1" applyFill="1" applyBorder="1" applyAlignment="1">
      <alignment horizontal="center" vertical="center"/>
    </xf>
    <xf numFmtId="0" fontId="9" fillId="7" borderId="2" xfId="3" applyNumberFormat="1" applyFont="1" applyFill="1" applyBorder="1" applyAlignment="1">
      <alignment horizontal="center" vertical="center"/>
    </xf>
    <xf numFmtId="0" fontId="9" fillId="5" borderId="10" xfId="0" applyFont="1" applyFill="1" applyBorder="1"/>
    <xf numFmtId="14" fontId="9" fillId="5" borderId="10" xfId="0" applyNumberFormat="1" applyFont="1" applyFill="1" applyBorder="1" applyAlignment="1">
      <alignment horizontal="center"/>
    </xf>
    <xf numFmtId="49" fontId="3" fillId="5" borderId="10" xfId="3" applyNumberFormat="1" applyFont="1" applyFill="1" applyBorder="1" applyAlignment="1">
      <alignment horizontal="center" vertical="center"/>
    </xf>
    <xf numFmtId="0" fontId="3" fillId="5" borderId="10" xfId="3" applyFont="1" applyFill="1" applyBorder="1" applyAlignment="1">
      <alignment horizontal="center" vertical="center"/>
    </xf>
    <xf numFmtId="0" fontId="9" fillId="6" borderId="3" xfId="3" applyNumberFormat="1" applyFont="1" applyFill="1" applyBorder="1" applyAlignment="1">
      <alignment horizontal="center" vertical="center"/>
    </xf>
    <xf numFmtId="0" fontId="9" fillId="6" borderId="3" xfId="3" applyFont="1" applyFill="1" applyBorder="1" applyAlignment="1">
      <alignment horizontal="center" vertical="center"/>
    </xf>
    <xf numFmtId="14" fontId="9" fillId="6" borderId="12" xfId="0" applyNumberFormat="1" applyFont="1" applyFill="1" applyBorder="1"/>
    <xf numFmtId="0" fontId="9" fillId="6" borderId="1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/>
    </xf>
    <xf numFmtId="49" fontId="3" fillId="3" borderId="3" xfId="3" applyNumberFormat="1" applyFont="1" applyFill="1" applyBorder="1" applyAlignment="1">
      <alignment horizontal="center" vertical="center"/>
    </xf>
    <xf numFmtId="0" fontId="3" fillId="3" borderId="3" xfId="3" applyNumberFormat="1" applyFont="1" applyFill="1" applyBorder="1" applyAlignment="1">
      <alignment horizontal="center" vertical="center"/>
    </xf>
    <xf numFmtId="0" fontId="3" fillId="3" borderId="3" xfId="3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9" fillId="3" borderId="3" xfId="0" applyFont="1" applyFill="1" applyBorder="1"/>
    <xf numFmtId="14" fontId="9" fillId="7" borderId="3" xfId="0" applyNumberFormat="1" applyFont="1" applyFill="1" applyBorder="1"/>
    <xf numFmtId="0" fontId="9" fillId="7" borderId="3" xfId="0" applyFont="1" applyFill="1" applyBorder="1" applyAlignment="1">
      <alignment horizontal="center"/>
    </xf>
    <xf numFmtId="0" fontId="6" fillId="2" borderId="12" xfId="0" applyFont="1" applyFill="1" applyBorder="1"/>
    <xf numFmtId="0" fontId="9" fillId="6" borderId="5" xfId="0" applyFont="1" applyFill="1" applyBorder="1" applyAlignment="1">
      <alignment horizontal="center"/>
    </xf>
    <xf numFmtId="0" fontId="9" fillId="5" borderId="0" xfId="0" applyFont="1" applyFill="1"/>
    <xf numFmtId="0" fontId="9" fillId="5" borderId="2" xfId="2" applyFont="1" applyFill="1" applyBorder="1" applyAlignment="1">
      <alignment horizontal="left" vertical="center"/>
    </xf>
    <xf numFmtId="0" fontId="3" fillId="13" borderId="2" xfId="3" applyFont="1" applyFill="1" applyBorder="1" applyAlignment="1">
      <alignment horizontal="center" vertical="center"/>
    </xf>
    <xf numFmtId="0" fontId="9" fillId="13" borderId="2" xfId="0" applyFont="1" applyFill="1" applyBorder="1"/>
    <xf numFmtId="0" fontId="3" fillId="13" borderId="2" xfId="0" applyFont="1" applyFill="1" applyBorder="1" applyAlignment="1">
      <alignment horizontal="center"/>
    </xf>
    <xf numFmtId="49" fontId="3" fillId="13" borderId="2" xfId="3" applyNumberFormat="1" applyFont="1" applyFill="1" applyBorder="1" applyAlignment="1">
      <alignment horizontal="center" vertical="center"/>
    </xf>
    <xf numFmtId="0" fontId="3" fillId="13" borderId="2" xfId="3" applyNumberFormat="1" applyFont="1" applyFill="1" applyBorder="1" applyAlignment="1">
      <alignment horizontal="center" vertical="center"/>
    </xf>
    <xf numFmtId="0" fontId="9" fillId="5" borderId="2" xfId="3" applyNumberFormat="1" applyFont="1" applyFill="1" applyBorder="1" applyAlignment="1">
      <alignment horizontal="center" vertical="center"/>
    </xf>
    <xf numFmtId="0" fontId="3" fillId="20" borderId="5" xfId="3" applyFont="1" applyFill="1" applyBorder="1" applyAlignment="1">
      <alignment horizontal="center" vertical="center"/>
    </xf>
    <xf numFmtId="0" fontId="9" fillId="20" borderId="0" xfId="2" applyFont="1" applyFill="1" applyBorder="1" applyAlignment="1">
      <alignment horizontal="left" vertical="center"/>
    </xf>
    <xf numFmtId="49" fontId="3" fillId="20" borderId="10" xfId="3" applyNumberFormat="1" applyFont="1" applyFill="1" applyBorder="1" applyAlignment="1">
      <alignment horizontal="center" vertical="center"/>
    </xf>
    <xf numFmtId="0" fontId="3" fillId="20" borderId="10" xfId="3" applyNumberFormat="1" applyFont="1" applyFill="1" applyBorder="1" applyAlignment="1">
      <alignment horizontal="center" vertical="center"/>
    </xf>
    <xf numFmtId="0" fontId="3" fillId="20" borderId="10" xfId="3" applyFont="1" applyFill="1" applyBorder="1" applyAlignment="1">
      <alignment horizontal="center" vertical="center"/>
    </xf>
    <xf numFmtId="0" fontId="3" fillId="20" borderId="2" xfId="3" applyFont="1" applyFill="1" applyBorder="1" applyAlignment="1">
      <alignment horizontal="center" vertical="center"/>
    </xf>
    <xf numFmtId="0" fontId="9" fillId="20" borderId="11" xfId="2" applyFont="1" applyFill="1" applyBorder="1" applyAlignment="1">
      <alignment horizontal="left" vertical="center"/>
    </xf>
    <xf numFmtId="49" fontId="3" fillId="20" borderId="3" xfId="3" applyNumberFormat="1" applyFont="1" applyFill="1" applyBorder="1" applyAlignment="1">
      <alignment horizontal="center" vertical="center"/>
    </xf>
    <xf numFmtId="0" fontId="3" fillId="20" borderId="3" xfId="3" applyNumberFormat="1" applyFont="1" applyFill="1" applyBorder="1" applyAlignment="1">
      <alignment horizontal="center" vertical="center"/>
    </xf>
    <xf numFmtId="0" fontId="3" fillId="20" borderId="3" xfId="3" applyFont="1" applyFill="1" applyBorder="1" applyAlignment="1">
      <alignment horizontal="center" vertical="center"/>
    </xf>
    <xf numFmtId="0" fontId="9" fillId="20" borderId="3" xfId="2" applyFont="1" applyFill="1" applyBorder="1" applyAlignment="1">
      <alignment horizontal="left" vertical="center"/>
    </xf>
    <xf numFmtId="0" fontId="9" fillId="5" borderId="3" xfId="0" applyFont="1" applyFill="1" applyBorder="1"/>
    <xf numFmtId="0" fontId="9" fillId="5" borderId="0" xfId="0" applyFont="1" applyFill="1" applyAlignment="1">
      <alignment horizontal="left"/>
    </xf>
    <xf numFmtId="0" fontId="3" fillId="5" borderId="12" xfId="0" applyFont="1" applyFill="1" applyBorder="1" applyAlignment="1">
      <alignment horizontal="center"/>
    </xf>
    <xf numFmtId="14" fontId="3" fillId="5" borderId="12" xfId="0" applyNumberFormat="1" applyFont="1" applyFill="1" applyBorder="1" applyAlignment="1">
      <alignment horizontal="center"/>
    </xf>
    <xf numFmtId="0" fontId="9" fillId="5" borderId="11" xfId="2" applyFont="1" applyFill="1" applyBorder="1" applyAlignment="1">
      <alignment horizontal="left" vertical="center"/>
    </xf>
    <xf numFmtId="0" fontId="9" fillId="5" borderId="3" xfId="2" applyFont="1" applyFill="1" applyBorder="1" applyAlignment="1">
      <alignment horizontal="left" vertical="center"/>
    </xf>
    <xf numFmtId="0" fontId="3" fillId="6" borderId="5" xfId="3" applyFont="1" applyFill="1" applyBorder="1" applyAlignment="1">
      <alignment horizontal="center" vertical="center"/>
    </xf>
    <xf numFmtId="0" fontId="9" fillId="6" borderId="3" xfId="0" applyFont="1" applyFill="1" applyBorder="1"/>
    <xf numFmtId="14" fontId="3" fillId="5" borderId="10" xfId="0" applyNumberFormat="1" applyFont="1" applyFill="1" applyBorder="1"/>
    <xf numFmtId="0" fontId="9" fillId="20" borderId="10" xfId="0" applyFont="1" applyFill="1" applyBorder="1"/>
    <xf numFmtId="14" fontId="3" fillId="20" borderId="10" xfId="0" applyNumberFormat="1" applyFont="1" applyFill="1" applyBorder="1"/>
    <xf numFmtId="0" fontId="3" fillId="20" borderId="10" xfId="0" applyFont="1" applyFill="1" applyBorder="1"/>
    <xf numFmtId="0" fontId="3" fillId="20" borderId="10" xfId="0" applyFont="1" applyFill="1" applyBorder="1" applyAlignment="1">
      <alignment horizontal="center"/>
    </xf>
    <xf numFmtId="0" fontId="9" fillId="20" borderId="2" xfId="0" applyFont="1" applyFill="1" applyBorder="1"/>
    <xf numFmtId="14" fontId="3" fillId="20" borderId="2" xfId="0" applyNumberFormat="1" applyFont="1" applyFill="1" applyBorder="1"/>
    <xf numFmtId="14" fontId="3" fillId="3" borderId="10" xfId="0" applyNumberFormat="1" applyFont="1" applyFill="1" applyBorder="1"/>
    <xf numFmtId="0" fontId="3" fillId="3" borderId="10" xfId="0" applyFont="1" applyFill="1" applyBorder="1" applyAlignment="1">
      <alignment horizontal="center"/>
    </xf>
    <xf numFmtId="0" fontId="9" fillId="20" borderId="2" xfId="0" applyFont="1" applyFill="1" applyBorder="1" applyAlignment="1">
      <alignment horizontal="left"/>
    </xf>
    <xf numFmtId="14" fontId="3" fillId="20" borderId="2" xfId="0" applyNumberFormat="1" applyFont="1" applyFill="1" applyBorder="1" applyAlignment="1">
      <alignment horizontal="center"/>
    </xf>
    <xf numFmtId="0" fontId="3" fillId="20" borderId="2" xfId="0" applyFont="1" applyFill="1" applyBorder="1" applyAlignment="1">
      <alignment horizontal="center"/>
    </xf>
    <xf numFmtId="0" fontId="3" fillId="20" borderId="5" xfId="3" applyNumberFormat="1" applyFont="1" applyFill="1" applyBorder="1" applyAlignment="1">
      <alignment horizontal="center" vertical="center"/>
    </xf>
    <xf numFmtId="0" fontId="3" fillId="20" borderId="2" xfId="3" applyNumberFormat="1" applyFont="1" applyFill="1" applyBorder="1" applyAlignment="1">
      <alignment horizontal="center" vertical="center"/>
    </xf>
    <xf numFmtId="0" fontId="3" fillId="20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2" xfId="3" applyFont="1" applyFill="1" applyBorder="1" applyAlignment="1">
      <alignment horizontal="center" vertical="center"/>
    </xf>
    <xf numFmtId="0" fontId="9" fillId="2" borderId="11" xfId="2" applyFont="1" applyFill="1" applyBorder="1" applyAlignment="1">
      <alignment horizontal="left" vertical="center"/>
    </xf>
    <xf numFmtId="14" fontId="3" fillId="2" borderId="2" xfId="3" applyNumberFormat="1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left" vertical="center"/>
    </xf>
    <xf numFmtId="14" fontId="3" fillId="2" borderId="3" xfId="3" applyNumberFormat="1" applyFont="1" applyFill="1" applyBorder="1" applyAlignment="1">
      <alignment horizontal="center" vertical="center"/>
    </xf>
    <xf numFmtId="0" fontId="3" fillId="2" borderId="2" xfId="0" applyFont="1" applyFill="1" applyBorder="1"/>
    <xf numFmtId="14" fontId="3" fillId="2" borderId="3" xfId="0" applyNumberFormat="1" applyFont="1" applyFill="1" applyBorder="1" applyAlignment="1">
      <alignment horizontal="center"/>
    </xf>
    <xf numFmtId="14" fontId="3" fillId="2" borderId="3" xfId="0" applyNumberFormat="1" applyFont="1" applyFill="1" applyBorder="1"/>
    <xf numFmtId="0" fontId="3" fillId="2" borderId="0" xfId="0" applyFont="1" applyFill="1"/>
    <xf numFmtId="49" fontId="3" fillId="21" borderId="2" xfId="3" applyNumberFormat="1" applyFont="1" applyFill="1" applyBorder="1" applyAlignment="1">
      <alignment horizontal="center" vertical="center"/>
    </xf>
    <xf numFmtId="14" fontId="3" fillId="0" borderId="0" xfId="0" applyNumberFormat="1" applyFont="1"/>
    <xf numFmtId="0" fontId="3" fillId="2" borderId="5" xfId="3" applyFont="1" applyFill="1" applyBorder="1" applyAlignment="1">
      <alignment horizontal="center" vertical="center"/>
    </xf>
    <xf numFmtId="0" fontId="9" fillId="2" borderId="0" xfId="2" applyFont="1" applyFill="1" applyBorder="1" applyAlignment="1">
      <alignment horizontal="left" vertical="center"/>
    </xf>
    <xf numFmtId="0" fontId="9" fillId="2" borderId="3" xfId="2" applyFont="1" applyFill="1" applyBorder="1" applyAlignment="1">
      <alignment horizontal="left" vertical="center"/>
    </xf>
    <xf numFmtId="0" fontId="3" fillId="5" borderId="3" xfId="0" applyFont="1" applyFill="1" applyBorder="1"/>
    <xf numFmtId="0" fontId="3" fillId="5" borderId="12" xfId="0" applyFont="1" applyFill="1" applyBorder="1"/>
    <xf numFmtId="49" fontId="3" fillId="2" borderId="10" xfId="3" applyNumberFormat="1" applyFont="1" applyFill="1" applyBorder="1" applyAlignment="1">
      <alignment horizontal="center" vertical="center"/>
    </xf>
    <xf numFmtId="0" fontId="3" fillId="2" borderId="10" xfId="3" applyFont="1" applyFill="1" applyBorder="1" applyAlignment="1">
      <alignment horizontal="center" vertical="center"/>
    </xf>
    <xf numFmtId="14" fontId="3" fillId="5" borderId="3" xfId="0" applyNumberFormat="1" applyFont="1" applyFill="1" applyBorder="1" applyAlignment="1">
      <alignment horizontal="center"/>
    </xf>
    <xf numFmtId="49" fontId="3" fillId="18" borderId="2" xfId="3" applyNumberFormat="1" applyFont="1" applyFill="1" applyBorder="1" applyAlignment="1">
      <alignment horizontal="center" vertical="center"/>
    </xf>
    <xf numFmtId="49" fontId="3" fillId="20" borderId="2" xfId="3" applyNumberFormat="1" applyFont="1" applyFill="1" applyBorder="1" applyAlignment="1">
      <alignment horizontal="center" vertical="center"/>
    </xf>
    <xf numFmtId="49" fontId="3" fillId="22" borderId="2" xfId="3" applyNumberFormat="1" applyFont="1" applyFill="1" applyBorder="1" applyAlignment="1">
      <alignment horizontal="center" vertical="center"/>
    </xf>
    <xf numFmtId="0" fontId="1" fillId="8" borderId="3" xfId="3" applyFont="1" applyFill="1" applyBorder="1" applyAlignment="1">
      <alignment horizontal="left" vertical="center"/>
    </xf>
    <xf numFmtId="0" fontId="1" fillId="8" borderId="7" xfId="3" applyFont="1" applyFill="1" applyBorder="1" applyAlignment="1">
      <alignment horizontal="left" vertical="center"/>
    </xf>
    <xf numFmtId="0" fontId="1" fillId="8" borderId="4" xfId="3" applyFont="1" applyFill="1" applyBorder="1" applyAlignment="1">
      <alignment horizontal="left" vertical="center"/>
    </xf>
    <xf numFmtId="0" fontId="21" fillId="0" borderId="2" xfId="0" applyFont="1" applyBorder="1"/>
    <xf numFmtId="0" fontId="22" fillId="0" borderId="2" xfId="0" applyFont="1" applyBorder="1"/>
    <xf numFmtId="0" fontId="22" fillId="3" borderId="2" xfId="0" applyFont="1" applyFill="1" applyBorder="1"/>
    <xf numFmtId="0" fontId="6" fillId="16" borderId="2" xfId="0" applyFont="1" applyFill="1" applyBorder="1" applyAlignment="1">
      <alignment horizontal="left"/>
    </xf>
    <xf numFmtId="14" fontId="1" fillId="16" borderId="2" xfId="0" applyNumberFormat="1" applyFont="1" applyFill="1" applyBorder="1" applyAlignment="1">
      <alignment horizontal="center"/>
    </xf>
    <xf numFmtId="14" fontId="3" fillId="16" borderId="2" xfId="0" applyNumberFormat="1" applyFont="1" applyFill="1" applyBorder="1" applyAlignment="1">
      <alignment horizontal="center"/>
    </xf>
    <xf numFmtId="0" fontId="3" fillId="16" borderId="2" xfId="0" applyFont="1" applyFill="1" applyBorder="1" applyAlignment="1">
      <alignment horizontal="center"/>
    </xf>
    <xf numFmtId="14" fontId="21" fillId="0" borderId="2" xfId="0" applyNumberFormat="1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6" fillId="22" borderId="2" xfId="0" applyFont="1" applyFill="1" applyBorder="1" applyAlignment="1">
      <alignment horizontal="left"/>
    </xf>
    <xf numFmtId="14" fontId="21" fillId="22" borderId="2" xfId="0" applyNumberFormat="1" applyFont="1" applyFill="1" applyBorder="1" applyAlignment="1">
      <alignment horizontal="center"/>
    </xf>
    <xf numFmtId="0" fontId="0" fillId="22" borderId="2" xfId="0" applyFill="1" applyBorder="1" applyAlignment="1">
      <alignment horizontal="center"/>
    </xf>
    <xf numFmtId="0" fontId="21" fillId="22" borderId="2" xfId="0" applyFont="1" applyFill="1" applyBorder="1" applyAlignment="1">
      <alignment horizontal="center"/>
    </xf>
    <xf numFmtId="14" fontId="22" fillId="3" borderId="2" xfId="0" applyNumberFormat="1" applyFont="1" applyFill="1" applyBorder="1" applyAlignment="1">
      <alignment horizontal="center"/>
    </xf>
    <xf numFmtId="14" fontId="21" fillId="3" borderId="2" xfId="0" applyNumberFormat="1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14" fontId="22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0" fontId="23" fillId="5" borderId="2" xfId="0" applyFont="1" applyFill="1" applyBorder="1"/>
    <xf numFmtId="0" fontId="24" fillId="5" borderId="2" xfId="0" applyFont="1" applyFill="1" applyBorder="1" applyAlignment="1">
      <alignment horizontal="left"/>
    </xf>
    <xf numFmtId="14" fontId="23" fillId="5" borderId="2" xfId="0" applyNumberFormat="1" applyFont="1" applyFill="1" applyBorder="1" applyAlignment="1">
      <alignment horizontal="center"/>
    </xf>
    <xf numFmtId="49" fontId="23" fillId="5" borderId="2" xfId="3" applyNumberFormat="1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/>
    </xf>
    <xf numFmtId="49" fontId="23" fillId="2" borderId="2" xfId="3" applyNumberFormat="1" applyFont="1" applyFill="1" applyBorder="1" applyAlignment="1">
      <alignment horizontal="center" vertical="center"/>
    </xf>
    <xf numFmtId="14" fontId="24" fillId="5" borderId="2" xfId="0" applyNumberFormat="1" applyFont="1" applyFill="1" applyBorder="1" applyAlignment="1">
      <alignment horizontal="center"/>
    </xf>
    <xf numFmtId="0" fontId="24" fillId="5" borderId="2" xfId="0" applyFont="1" applyFill="1" applyBorder="1"/>
    <xf numFmtId="0" fontId="24" fillId="0" borderId="2" xfId="0" applyFont="1" applyBorder="1"/>
    <xf numFmtId="0" fontId="23" fillId="5" borderId="5" xfId="0" applyFont="1" applyFill="1" applyBorder="1"/>
    <xf numFmtId="14" fontId="24" fillId="5" borderId="5" xfId="0" applyNumberFormat="1" applyFont="1" applyFill="1" applyBorder="1" applyAlignment="1">
      <alignment horizontal="center"/>
    </xf>
    <xf numFmtId="0" fontId="22" fillId="6" borderId="2" xfId="0" applyFont="1" applyFill="1" applyBorder="1" applyAlignment="1">
      <alignment horizontal="center"/>
    </xf>
    <xf numFmtId="0" fontId="22" fillId="6" borderId="2" xfId="0" applyFont="1" applyFill="1" applyBorder="1"/>
    <xf numFmtId="14" fontId="22" fillId="6" borderId="2" xfId="0" applyNumberFormat="1" applyFont="1" applyFill="1" applyBorder="1" applyAlignment="1">
      <alignment horizontal="center"/>
    </xf>
    <xf numFmtId="14" fontId="21" fillId="6" borderId="2" xfId="0" applyNumberFormat="1" applyFont="1" applyFill="1" applyBorder="1" applyAlignment="1">
      <alignment horizontal="center"/>
    </xf>
    <xf numFmtId="0" fontId="21" fillId="6" borderId="2" xfId="0" applyFont="1" applyFill="1" applyBorder="1" applyAlignment="1">
      <alignment horizontal="center"/>
    </xf>
    <xf numFmtId="0" fontId="21" fillId="5" borderId="2" xfId="0" applyFont="1" applyFill="1" applyBorder="1"/>
    <xf numFmtId="14" fontId="21" fillId="5" borderId="2" xfId="0" applyNumberFormat="1" applyFont="1" applyFill="1" applyBorder="1" applyAlignment="1">
      <alignment horizontal="center"/>
    </xf>
    <xf numFmtId="14" fontId="21" fillId="5" borderId="2" xfId="0" applyNumberFormat="1" applyFont="1" applyFill="1" applyBorder="1"/>
    <xf numFmtId="0" fontId="21" fillId="5" borderId="2" xfId="0" applyFont="1" applyFill="1" applyBorder="1" applyAlignment="1">
      <alignment horizontal="center"/>
    </xf>
    <xf numFmtId="0" fontId="25" fillId="3" borderId="5" xfId="0" applyFont="1" applyFill="1" applyBorder="1" applyAlignment="1">
      <alignment horizontal="center"/>
    </xf>
    <xf numFmtId="0" fontId="24" fillId="3" borderId="0" xfId="0" applyFont="1" applyFill="1"/>
    <xf numFmtId="14" fontId="24" fillId="3" borderId="9" xfId="0" applyNumberFormat="1" applyFont="1" applyFill="1" applyBorder="1" applyAlignment="1">
      <alignment horizontal="center"/>
    </xf>
    <xf numFmtId="14" fontId="25" fillId="3" borderId="9" xfId="0" applyNumberFormat="1" applyFont="1" applyFill="1" applyBorder="1"/>
    <xf numFmtId="49" fontId="23" fillId="3" borderId="2" xfId="3" applyNumberFormat="1" applyFont="1" applyFill="1" applyBorder="1" applyAlignment="1">
      <alignment horizontal="center" vertical="center"/>
    </xf>
    <xf numFmtId="0" fontId="25" fillId="3" borderId="9" xfId="0" applyFont="1" applyFill="1" applyBorder="1" applyAlignment="1">
      <alignment horizontal="center"/>
    </xf>
    <xf numFmtId="0" fontId="24" fillId="5" borderId="2" xfId="0" applyFont="1" applyFill="1" applyBorder="1" applyAlignment="1">
      <alignment horizontal="center"/>
    </xf>
    <xf numFmtId="14" fontId="25" fillId="5" borderId="2" xfId="0" applyNumberFormat="1" applyFont="1" applyFill="1" applyBorder="1"/>
    <xf numFmtId="0" fontId="25" fillId="5" borderId="2" xfId="0" applyFont="1" applyFill="1" applyBorder="1" applyAlignment="1">
      <alignment horizontal="center"/>
    </xf>
    <xf numFmtId="0" fontId="24" fillId="5" borderId="0" xfId="0" applyFont="1" applyFill="1"/>
    <xf numFmtId="0" fontId="25" fillId="6" borderId="2" xfId="0" applyFont="1" applyFill="1" applyBorder="1" applyAlignment="1">
      <alignment horizontal="center"/>
    </xf>
    <xf numFmtId="0" fontId="24" fillId="6" borderId="2" xfId="0" applyFont="1" applyFill="1" applyBorder="1"/>
    <xf numFmtId="14" fontId="24" fillId="6" borderId="2" xfId="0" applyNumberFormat="1" applyFont="1" applyFill="1" applyBorder="1" applyAlignment="1">
      <alignment horizontal="center"/>
    </xf>
    <xf numFmtId="14" fontId="25" fillId="6" borderId="2" xfId="0" applyNumberFormat="1" applyFont="1" applyFill="1" applyBorder="1"/>
    <xf numFmtId="49" fontId="23" fillId="6" borderId="2" xfId="3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left"/>
    </xf>
    <xf numFmtId="0" fontId="24" fillId="6" borderId="2" xfId="0" applyFont="1" applyFill="1" applyBorder="1" applyAlignment="1">
      <alignment horizontal="left"/>
    </xf>
    <xf numFmtId="0" fontId="22" fillId="5" borderId="2" xfId="0" applyFont="1" applyFill="1" applyBorder="1" applyAlignment="1">
      <alignment horizontal="center"/>
    </xf>
    <xf numFmtId="14" fontId="22" fillId="5" borderId="2" xfId="0" applyNumberFormat="1" applyFont="1" applyFill="1" applyBorder="1" applyAlignment="1">
      <alignment horizontal="center"/>
    </xf>
    <xf numFmtId="0" fontId="22" fillId="16" borderId="2" xfId="0" applyFont="1" applyFill="1" applyBorder="1" applyAlignment="1">
      <alignment horizontal="center"/>
    </xf>
    <xf numFmtId="0" fontId="24" fillId="16" borderId="2" xfId="0" applyFont="1" applyFill="1" applyBorder="1"/>
    <xf numFmtId="14" fontId="22" fillId="16" borderId="2" xfId="0" applyNumberFormat="1" applyFont="1" applyFill="1" applyBorder="1" applyAlignment="1">
      <alignment horizontal="center"/>
    </xf>
    <xf numFmtId="14" fontId="21" fillId="16" borderId="2" xfId="0" applyNumberFormat="1" applyFont="1" applyFill="1" applyBorder="1" applyAlignment="1">
      <alignment horizontal="center"/>
    </xf>
    <xf numFmtId="0" fontId="21" fillId="16" borderId="2" xfId="0" applyFont="1" applyFill="1" applyBorder="1" applyAlignment="1">
      <alignment horizontal="center"/>
    </xf>
    <xf numFmtId="14" fontId="23" fillId="0" borderId="2" xfId="0" applyNumberFormat="1" applyFont="1" applyBorder="1" applyAlignment="1">
      <alignment horizontal="center"/>
    </xf>
    <xf numFmtId="14" fontId="25" fillId="0" borderId="2" xfId="0" applyNumberFormat="1" applyFont="1" applyBorder="1" applyAlignment="1">
      <alignment horizontal="center"/>
    </xf>
    <xf numFmtId="0" fontId="24" fillId="3" borderId="2" xfId="0" applyFont="1" applyFill="1" applyBorder="1" applyAlignment="1">
      <alignment horizontal="center"/>
    </xf>
    <xf numFmtId="0" fontId="24" fillId="3" borderId="2" xfId="0" applyFont="1" applyFill="1" applyBorder="1" applyAlignment="1">
      <alignment horizontal="left"/>
    </xf>
    <xf numFmtId="14" fontId="24" fillId="3" borderId="2" xfId="0" applyNumberFormat="1" applyFont="1" applyFill="1" applyBorder="1" applyAlignment="1">
      <alignment horizontal="center"/>
    </xf>
    <xf numFmtId="14" fontId="23" fillId="3" borderId="2" xfId="0" applyNumberFormat="1" applyFont="1" applyFill="1" applyBorder="1" applyAlignment="1">
      <alignment horizontal="center"/>
    </xf>
    <xf numFmtId="0" fontId="23" fillId="3" borderId="2" xfId="0" applyFont="1" applyFill="1" applyBorder="1" applyAlignment="1">
      <alignment horizontal="center"/>
    </xf>
    <xf numFmtId="0" fontId="24" fillId="16" borderId="2" xfId="0" applyFont="1" applyFill="1" applyBorder="1" applyAlignment="1">
      <alignment horizontal="center"/>
    </xf>
    <xf numFmtId="14" fontId="24" fillId="16" borderId="2" xfId="0" applyNumberFormat="1" applyFont="1" applyFill="1" applyBorder="1" applyAlignment="1">
      <alignment horizontal="center"/>
    </xf>
    <xf numFmtId="14" fontId="23" fillId="16" borderId="2" xfId="0" applyNumberFormat="1" applyFont="1" applyFill="1" applyBorder="1" applyAlignment="1">
      <alignment horizontal="center"/>
    </xf>
    <xf numFmtId="0" fontId="25" fillId="16" borderId="2" xfId="0" applyFont="1" applyFill="1" applyBorder="1" applyAlignment="1">
      <alignment horizontal="center"/>
    </xf>
    <xf numFmtId="0" fontId="23" fillId="16" borderId="2" xfId="0" applyFont="1" applyFill="1" applyBorder="1" applyAlignment="1">
      <alignment horizontal="center"/>
    </xf>
    <xf numFmtId="14" fontId="25" fillId="5" borderId="2" xfId="0" applyNumberFormat="1" applyFont="1" applyFill="1" applyBorder="1" applyAlignment="1">
      <alignment horizontal="center"/>
    </xf>
    <xf numFmtId="0" fontId="22" fillId="2" borderId="2" xfId="0" applyFont="1" applyFill="1" applyBorder="1"/>
    <xf numFmtId="14" fontId="21" fillId="2" borderId="2" xfId="0" applyNumberFormat="1" applyFont="1" applyFill="1" applyBorder="1" applyAlignment="1">
      <alignment horizontal="center"/>
    </xf>
    <xf numFmtId="14" fontId="21" fillId="2" borderId="2" xfId="0" applyNumberFormat="1" applyFont="1" applyFill="1" applyBorder="1"/>
    <xf numFmtId="0" fontId="21" fillId="2" borderId="2" xfId="0" applyFont="1" applyFill="1" applyBorder="1" applyAlignment="1">
      <alignment horizontal="center"/>
    </xf>
    <xf numFmtId="0" fontId="24" fillId="23" borderId="2" xfId="0" applyFont="1" applyFill="1" applyBorder="1" applyAlignment="1">
      <alignment horizontal="center"/>
    </xf>
    <xf numFmtId="0" fontId="24" fillId="23" borderId="2" xfId="0" applyFont="1" applyFill="1" applyBorder="1"/>
    <xf numFmtId="14" fontId="24" fillId="23" borderId="2" xfId="0" applyNumberFormat="1" applyFont="1" applyFill="1" applyBorder="1" applyAlignment="1">
      <alignment horizontal="center"/>
    </xf>
    <xf numFmtId="14" fontId="23" fillId="23" borderId="2" xfId="0" applyNumberFormat="1" applyFont="1" applyFill="1" applyBorder="1" applyAlignment="1">
      <alignment horizontal="center"/>
    </xf>
    <xf numFmtId="49" fontId="23" fillId="23" borderId="2" xfId="3" applyNumberFormat="1" applyFont="1" applyFill="1" applyBorder="1" applyAlignment="1">
      <alignment horizontal="center" vertical="center"/>
    </xf>
    <xf numFmtId="0" fontId="23" fillId="23" borderId="2" xfId="0" applyFont="1" applyFill="1" applyBorder="1" applyAlignment="1">
      <alignment horizontal="center"/>
    </xf>
    <xf numFmtId="0" fontId="1" fillId="2" borderId="1" xfId="3" applyFont="1" applyFill="1" applyBorder="1" applyAlignment="1">
      <alignment horizontal="center"/>
    </xf>
    <xf numFmtId="0" fontId="1" fillId="8" borderId="3" xfId="3" applyFont="1" applyFill="1" applyBorder="1" applyAlignment="1">
      <alignment horizontal="left" vertical="center"/>
    </xf>
    <xf numFmtId="0" fontId="1" fillId="8" borderId="7" xfId="3" applyFont="1" applyFill="1" applyBorder="1" applyAlignment="1">
      <alignment horizontal="left" vertical="center"/>
    </xf>
    <xf numFmtId="0" fontId="1" fillId="8" borderId="4" xfId="3" applyFont="1" applyFill="1" applyBorder="1" applyAlignment="1">
      <alignment horizontal="left" vertical="center"/>
    </xf>
    <xf numFmtId="0" fontId="26" fillId="0" borderId="2" xfId="0" applyFont="1" applyBorder="1"/>
    <xf numFmtId="0" fontId="26" fillId="0" borderId="2" xfId="0" applyFont="1" applyBorder="1" applyAlignment="1">
      <alignment horizontal="left"/>
    </xf>
    <xf numFmtId="0" fontId="0" fillId="16" borderId="2" xfId="0" applyFill="1" applyBorder="1" applyAlignment="1">
      <alignment horizontal="center"/>
    </xf>
    <xf numFmtId="14" fontId="0" fillId="16" borderId="2" xfId="0" applyNumberFormat="1" applyFill="1" applyBorder="1"/>
  </cellXfs>
  <cellStyles count="4">
    <cellStyle name="Normal" xfId="0" builtinId="0"/>
    <cellStyle name="Normal 2" xfId="2"/>
    <cellStyle name="Normal 3" xfId="3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F48"/>
  <sheetViews>
    <sheetView topLeftCell="A7" zoomScale="110" zoomScaleNormal="110" workbookViewId="0">
      <selection activeCell="F44" sqref="F44"/>
    </sheetView>
  </sheetViews>
  <sheetFormatPr defaultColWidth="9" defaultRowHeight="12.75"/>
  <cols>
    <col min="1" max="1" width="6.7109375" style="108" customWidth="1"/>
    <col min="2" max="2" width="42.5703125" style="108" customWidth="1"/>
    <col min="3" max="3" width="12.28515625" style="108" customWidth="1"/>
    <col min="4" max="4" width="10.85546875" style="108" customWidth="1"/>
    <col min="5" max="5" width="13" style="108" customWidth="1"/>
    <col min="6" max="6" width="11.140625" style="108" customWidth="1"/>
    <col min="7" max="7" width="11.85546875" style="108" customWidth="1"/>
    <col min="8" max="8" width="8.7109375" style="108" customWidth="1"/>
    <col min="9" max="9" width="9.28515625" style="108" customWidth="1"/>
    <col min="10" max="11" width="8.5703125" style="108" customWidth="1"/>
    <col min="12" max="12" width="8.42578125" style="108" customWidth="1"/>
    <col min="13" max="13" width="12.85546875" style="108" customWidth="1"/>
    <col min="14" max="84" width="9.140625" style="562"/>
    <col min="85" max="257" width="9.140625" style="108"/>
    <col min="258" max="258" width="34.42578125" style="108" customWidth="1"/>
    <col min="259" max="259" width="14.28515625" style="108" customWidth="1"/>
    <col min="260" max="260" width="15.42578125" style="108" customWidth="1"/>
    <col min="261" max="261" width="9.140625" style="108"/>
    <col min="262" max="262" width="10.140625" style="108" customWidth="1"/>
    <col min="263" max="263" width="14.140625" style="108" customWidth="1"/>
    <col min="264" max="264" width="8.5703125" style="108" customWidth="1"/>
    <col min="265" max="265" width="8.28515625" style="108" customWidth="1"/>
    <col min="266" max="266" width="9.140625" style="108" customWidth="1"/>
    <col min="267" max="267" width="9.5703125" style="108" customWidth="1"/>
    <col min="268" max="268" width="7.140625" style="108" customWidth="1"/>
    <col min="269" max="269" width="8.140625" style="108" customWidth="1"/>
    <col min="270" max="513" width="9.140625" style="108"/>
    <col min="514" max="514" width="34.42578125" style="108" customWidth="1"/>
    <col min="515" max="515" width="14.28515625" style="108" customWidth="1"/>
    <col min="516" max="516" width="15.42578125" style="108" customWidth="1"/>
    <col min="517" max="517" width="9.140625" style="108"/>
    <col min="518" max="518" width="10.140625" style="108" customWidth="1"/>
    <col min="519" max="519" width="14.140625" style="108" customWidth="1"/>
    <col min="520" max="520" width="8.5703125" style="108" customWidth="1"/>
    <col min="521" max="521" width="8.28515625" style="108" customWidth="1"/>
    <col min="522" max="522" width="9.140625" style="108" customWidth="1"/>
    <col min="523" max="523" width="9.5703125" style="108" customWidth="1"/>
    <col min="524" max="524" width="7.140625" style="108" customWidth="1"/>
    <col min="525" max="525" width="8.140625" style="108" customWidth="1"/>
    <col min="526" max="769" width="9.140625" style="108"/>
    <col min="770" max="770" width="34.42578125" style="108" customWidth="1"/>
    <col min="771" max="771" width="14.28515625" style="108" customWidth="1"/>
    <col min="772" max="772" width="15.42578125" style="108" customWidth="1"/>
    <col min="773" max="773" width="9.140625" style="108"/>
    <col min="774" max="774" width="10.140625" style="108" customWidth="1"/>
    <col min="775" max="775" width="14.140625" style="108" customWidth="1"/>
    <col min="776" max="776" width="8.5703125" style="108" customWidth="1"/>
    <col min="777" max="777" width="8.28515625" style="108" customWidth="1"/>
    <col min="778" max="778" width="9.140625" style="108" customWidth="1"/>
    <col min="779" max="779" width="9.5703125" style="108" customWidth="1"/>
    <col min="780" max="780" width="7.140625" style="108" customWidth="1"/>
    <col min="781" max="781" width="8.140625" style="108" customWidth="1"/>
    <col min="782" max="1025" width="9.140625" style="108"/>
    <col min="1026" max="1026" width="34.42578125" style="108" customWidth="1"/>
    <col min="1027" max="1027" width="14.28515625" style="108" customWidth="1"/>
    <col min="1028" max="1028" width="15.42578125" style="108" customWidth="1"/>
    <col min="1029" max="1029" width="9.140625" style="108"/>
    <col min="1030" max="1030" width="10.140625" style="108" customWidth="1"/>
    <col min="1031" max="1031" width="14.140625" style="108" customWidth="1"/>
    <col min="1032" max="1032" width="8.5703125" style="108" customWidth="1"/>
    <col min="1033" max="1033" width="8.28515625" style="108" customWidth="1"/>
    <col min="1034" max="1034" width="9.140625" style="108" customWidth="1"/>
    <col min="1035" max="1035" width="9.5703125" style="108" customWidth="1"/>
    <col min="1036" max="1036" width="7.140625" style="108" customWidth="1"/>
    <col min="1037" max="1037" width="8.140625" style="108" customWidth="1"/>
    <col min="1038" max="1281" width="9.140625" style="108"/>
    <col min="1282" max="1282" width="34.42578125" style="108" customWidth="1"/>
    <col min="1283" max="1283" width="14.28515625" style="108" customWidth="1"/>
    <col min="1284" max="1284" width="15.42578125" style="108" customWidth="1"/>
    <col min="1285" max="1285" width="9.140625" style="108"/>
    <col min="1286" max="1286" width="10.140625" style="108" customWidth="1"/>
    <col min="1287" max="1287" width="14.140625" style="108" customWidth="1"/>
    <col min="1288" max="1288" width="8.5703125" style="108" customWidth="1"/>
    <col min="1289" max="1289" width="8.28515625" style="108" customWidth="1"/>
    <col min="1290" max="1290" width="9.140625" style="108" customWidth="1"/>
    <col min="1291" max="1291" width="9.5703125" style="108" customWidth="1"/>
    <col min="1292" max="1292" width="7.140625" style="108" customWidth="1"/>
    <col min="1293" max="1293" width="8.140625" style="108" customWidth="1"/>
    <col min="1294" max="1537" width="9.140625" style="108"/>
    <col min="1538" max="1538" width="34.42578125" style="108" customWidth="1"/>
    <col min="1539" max="1539" width="14.28515625" style="108" customWidth="1"/>
    <col min="1540" max="1540" width="15.42578125" style="108" customWidth="1"/>
    <col min="1541" max="1541" width="9.140625" style="108"/>
    <col min="1542" max="1542" width="10.140625" style="108" customWidth="1"/>
    <col min="1543" max="1543" width="14.140625" style="108" customWidth="1"/>
    <col min="1544" max="1544" width="8.5703125" style="108" customWidth="1"/>
    <col min="1545" max="1545" width="8.28515625" style="108" customWidth="1"/>
    <col min="1546" max="1546" width="9.140625" style="108" customWidth="1"/>
    <col min="1547" max="1547" width="9.5703125" style="108" customWidth="1"/>
    <col min="1548" max="1548" width="7.140625" style="108" customWidth="1"/>
    <col min="1549" max="1549" width="8.140625" style="108" customWidth="1"/>
    <col min="1550" max="1793" width="9.140625" style="108"/>
    <col min="1794" max="1794" width="34.42578125" style="108" customWidth="1"/>
    <col min="1795" max="1795" width="14.28515625" style="108" customWidth="1"/>
    <col min="1796" max="1796" width="15.42578125" style="108" customWidth="1"/>
    <col min="1797" max="1797" width="9.140625" style="108"/>
    <col min="1798" max="1798" width="10.140625" style="108" customWidth="1"/>
    <col min="1799" max="1799" width="14.140625" style="108" customWidth="1"/>
    <col min="1800" max="1800" width="8.5703125" style="108" customWidth="1"/>
    <col min="1801" max="1801" width="8.28515625" style="108" customWidth="1"/>
    <col min="1802" max="1802" width="9.140625" style="108" customWidth="1"/>
    <col min="1803" max="1803" width="9.5703125" style="108" customWidth="1"/>
    <col min="1804" max="1804" width="7.140625" style="108" customWidth="1"/>
    <col min="1805" max="1805" width="8.140625" style="108" customWidth="1"/>
    <col min="1806" max="2049" width="9.140625" style="108"/>
    <col min="2050" max="2050" width="34.42578125" style="108" customWidth="1"/>
    <col min="2051" max="2051" width="14.28515625" style="108" customWidth="1"/>
    <col min="2052" max="2052" width="15.42578125" style="108" customWidth="1"/>
    <col min="2053" max="2053" width="9.140625" style="108"/>
    <col min="2054" max="2054" width="10.140625" style="108" customWidth="1"/>
    <col min="2055" max="2055" width="14.140625" style="108" customWidth="1"/>
    <col min="2056" max="2056" width="8.5703125" style="108" customWidth="1"/>
    <col min="2057" max="2057" width="8.28515625" style="108" customWidth="1"/>
    <col min="2058" max="2058" width="9.140625" style="108" customWidth="1"/>
    <col min="2059" max="2059" width="9.5703125" style="108" customWidth="1"/>
    <col min="2060" max="2060" width="7.140625" style="108" customWidth="1"/>
    <col min="2061" max="2061" width="8.140625" style="108" customWidth="1"/>
    <col min="2062" max="2305" width="9.140625" style="108"/>
    <col min="2306" max="2306" width="34.42578125" style="108" customWidth="1"/>
    <col min="2307" max="2307" width="14.28515625" style="108" customWidth="1"/>
    <col min="2308" max="2308" width="15.42578125" style="108" customWidth="1"/>
    <col min="2309" max="2309" width="9.140625" style="108"/>
    <col min="2310" max="2310" width="10.140625" style="108" customWidth="1"/>
    <col min="2311" max="2311" width="14.140625" style="108" customWidth="1"/>
    <col min="2312" max="2312" width="8.5703125" style="108" customWidth="1"/>
    <col min="2313" max="2313" width="8.28515625" style="108" customWidth="1"/>
    <col min="2314" max="2314" width="9.140625" style="108" customWidth="1"/>
    <col min="2315" max="2315" width="9.5703125" style="108" customWidth="1"/>
    <col min="2316" max="2316" width="7.140625" style="108" customWidth="1"/>
    <col min="2317" max="2317" width="8.140625" style="108" customWidth="1"/>
    <col min="2318" max="2561" width="9.140625" style="108"/>
    <col min="2562" max="2562" width="34.42578125" style="108" customWidth="1"/>
    <col min="2563" max="2563" width="14.28515625" style="108" customWidth="1"/>
    <col min="2564" max="2564" width="15.42578125" style="108" customWidth="1"/>
    <col min="2565" max="2565" width="9.140625" style="108"/>
    <col min="2566" max="2566" width="10.140625" style="108" customWidth="1"/>
    <col min="2567" max="2567" width="14.140625" style="108" customWidth="1"/>
    <col min="2568" max="2568" width="8.5703125" style="108" customWidth="1"/>
    <col min="2569" max="2569" width="8.28515625" style="108" customWidth="1"/>
    <col min="2570" max="2570" width="9.140625" style="108" customWidth="1"/>
    <col min="2571" max="2571" width="9.5703125" style="108" customWidth="1"/>
    <col min="2572" max="2572" width="7.140625" style="108" customWidth="1"/>
    <col min="2573" max="2573" width="8.140625" style="108" customWidth="1"/>
    <col min="2574" max="2817" width="9.140625" style="108"/>
    <col min="2818" max="2818" width="34.42578125" style="108" customWidth="1"/>
    <col min="2819" max="2819" width="14.28515625" style="108" customWidth="1"/>
    <col min="2820" max="2820" width="15.42578125" style="108" customWidth="1"/>
    <col min="2821" max="2821" width="9.140625" style="108"/>
    <col min="2822" max="2822" width="10.140625" style="108" customWidth="1"/>
    <col min="2823" max="2823" width="14.140625" style="108" customWidth="1"/>
    <col min="2824" max="2824" width="8.5703125" style="108" customWidth="1"/>
    <col min="2825" max="2825" width="8.28515625" style="108" customWidth="1"/>
    <col min="2826" max="2826" width="9.140625" style="108" customWidth="1"/>
    <col min="2827" max="2827" width="9.5703125" style="108" customWidth="1"/>
    <col min="2828" max="2828" width="7.140625" style="108" customWidth="1"/>
    <col min="2829" max="2829" width="8.140625" style="108" customWidth="1"/>
    <col min="2830" max="3073" width="9.140625" style="108"/>
    <col min="3074" max="3074" width="34.42578125" style="108" customWidth="1"/>
    <col min="3075" max="3075" width="14.28515625" style="108" customWidth="1"/>
    <col min="3076" max="3076" width="15.42578125" style="108" customWidth="1"/>
    <col min="3077" max="3077" width="9.140625" style="108"/>
    <col min="3078" max="3078" width="10.140625" style="108" customWidth="1"/>
    <col min="3079" max="3079" width="14.140625" style="108" customWidth="1"/>
    <col min="3080" max="3080" width="8.5703125" style="108" customWidth="1"/>
    <col min="3081" max="3081" width="8.28515625" style="108" customWidth="1"/>
    <col min="3082" max="3082" width="9.140625" style="108" customWidth="1"/>
    <col min="3083" max="3083" width="9.5703125" style="108" customWidth="1"/>
    <col min="3084" max="3084" width="7.140625" style="108" customWidth="1"/>
    <col min="3085" max="3085" width="8.140625" style="108" customWidth="1"/>
    <col min="3086" max="3329" width="9.140625" style="108"/>
    <col min="3330" max="3330" width="34.42578125" style="108" customWidth="1"/>
    <col min="3331" max="3331" width="14.28515625" style="108" customWidth="1"/>
    <col min="3332" max="3332" width="15.42578125" style="108" customWidth="1"/>
    <col min="3333" max="3333" width="9.140625" style="108"/>
    <col min="3334" max="3334" width="10.140625" style="108" customWidth="1"/>
    <col min="3335" max="3335" width="14.140625" style="108" customWidth="1"/>
    <col min="3336" max="3336" width="8.5703125" style="108" customWidth="1"/>
    <col min="3337" max="3337" width="8.28515625" style="108" customWidth="1"/>
    <col min="3338" max="3338" width="9.140625" style="108" customWidth="1"/>
    <col min="3339" max="3339" width="9.5703125" style="108" customWidth="1"/>
    <col min="3340" max="3340" width="7.140625" style="108" customWidth="1"/>
    <col min="3341" max="3341" width="8.140625" style="108" customWidth="1"/>
    <col min="3342" max="3585" width="9.140625" style="108"/>
    <col min="3586" max="3586" width="34.42578125" style="108" customWidth="1"/>
    <col min="3587" max="3587" width="14.28515625" style="108" customWidth="1"/>
    <col min="3588" max="3588" width="15.42578125" style="108" customWidth="1"/>
    <col min="3589" max="3589" width="9.140625" style="108"/>
    <col min="3590" max="3590" width="10.140625" style="108" customWidth="1"/>
    <col min="3591" max="3591" width="14.140625" style="108" customWidth="1"/>
    <col min="3592" max="3592" width="8.5703125" style="108" customWidth="1"/>
    <col min="3593" max="3593" width="8.28515625" style="108" customWidth="1"/>
    <col min="3594" max="3594" width="9.140625" style="108" customWidth="1"/>
    <col min="3595" max="3595" width="9.5703125" style="108" customWidth="1"/>
    <col min="3596" max="3596" width="7.140625" style="108" customWidth="1"/>
    <col min="3597" max="3597" width="8.140625" style="108" customWidth="1"/>
    <col min="3598" max="3841" width="9.140625" style="108"/>
    <col min="3842" max="3842" width="34.42578125" style="108" customWidth="1"/>
    <col min="3843" max="3843" width="14.28515625" style="108" customWidth="1"/>
    <col min="3844" max="3844" width="15.42578125" style="108" customWidth="1"/>
    <col min="3845" max="3845" width="9.140625" style="108"/>
    <col min="3846" max="3846" width="10.140625" style="108" customWidth="1"/>
    <col min="3847" max="3847" width="14.140625" style="108" customWidth="1"/>
    <col min="3848" max="3848" width="8.5703125" style="108" customWidth="1"/>
    <col min="3849" max="3849" width="8.28515625" style="108" customWidth="1"/>
    <col min="3850" max="3850" width="9.140625" style="108" customWidth="1"/>
    <col min="3851" max="3851" width="9.5703125" style="108" customWidth="1"/>
    <col min="3852" max="3852" width="7.140625" style="108" customWidth="1"/>
    <col min="3853" max="3853" width="8.140625" style="108" customWidth="1"/>
    <col min="3854" max="4097" width="9.140625" style="108"/>
    <col min="4098" max="4098" width="34.42578125" style="108" customWidth="1"/>
    <col min="4099" max="4099" width="14.28515625" style="108" customWidth="1"/>
    <col min="4100" max="4100" width="15.42578125" style="108" customWidth="1"/>
    <col min="4101" max="4101" width="9.140625" style="108"/>
    <col min="4102" max="4102" width="10.140625" style="108" customWidth="1"/>
    <col min="4103" max="4103" width="14.140625" style="108" customWidth="1"/>
    <col min="4104" max="4104" width="8.5703125" style="108" customWidth="1"/>
    <col min="4105" max="4105" width="8.28515625" style="108" customWidth="1"/>
    <col min="4106" max="4106" width="9.140625" style="108" customWidth="1"/>
    <col min="4107" max="4107" width="9.5703125" style="108" customWidth="1"/>
    <col min="4108" max="4108" width="7.140625" style="108" customWidth="1"/>
    <col min="4109" max="4109" width="8.140625" style="108" customWidth="1"/>
    <col min="4110" max="4353" width="9.140625" style="108"/>
    <col min="4354" max="4354" width="34.42578125" style="108" customWidth="1"/>
    <col min="4355" max="4355" width="14.28515625" style="108" customWidth="1"/>
    <col min="4356" max="4356" width="15.42578125" style="108" customWidth="1"/>
    <col min="4357" max="4357" width="9.140625" style="108"/>
    <col min="4358" max="4358" width="10.140625" style="108" customWidth="1"/>
    <col min="4359" max="4359" width="14.140625" style="108" customWidth="1"/>
    <col min="4360" max="4360" width="8.5703125" style="108" customWidth="1"/>
    <col min="4361" max="4361" width="8.28515625" style="108" customWidth="1"/>
    <col min="4362" max="4362" width="9.140625" style="108" customWidth="1"/>
    <col min="4363" max="4363" width="9.5703125" style="108" customWidth="1"/>
    <col min="4364" max="4364" width="7.140625" style="108" customWidth="1"/>
    <col min="4365" max="4365" width="8.140625" style="108" customWidth="1"/>
    <col min="4366" max="4609" width="9.140625" style="108"/>
    <col min="4610" max="4610" width="34.42578125" style="108" customWidth="1"/>
    <col min="4611" max="4611" width="14.28515625" style="108" customWidth="1"/>
    <col min="4612" max="4612" width="15.42578125" style="108" customWidth="1"/>
    <col min="4613" max="4613" width="9.140625" style="108"/>
    <col min="4614" max="4614" width="10.140625" style="108" customWidth="1"/>
    <col min="4615" max="4615" width="14.140625" style="108" customWidth="1"/>
    <col min="4616" max="4616" width="8.5703125" style="108" customWidth="1"/>
    <col min="4617" max="4617" width="8.28515625" style="108" customWidth="1"/>
    <col min="4618" max="4618" width="9.140625" style="108" customWidth="1"/>
    <col min="4619" max="4619" width="9.5703125" style="108" customWidth="1"/>
    <col min="4620" max="4620" width="7.140625" style="108" customWidth="1"/>
    <col min="4621" max="4621" width="8.140625" style="108" customWidth="1"/>
    <col min="4622" max="4865" width="9.140625" style="108"/>
    <col min="4866" max="4866" width="34.42578125" style="108" customWidth="1"/>
    <col min="4867" max="4867" width="14.28515625" style="108" customWidth="1"/>
    <col min="4868" max="4868" width="15.42578125" style="108" customWidth="1"/>
    <col min="4869" max="4869" width="9.140625" style="108"/>
    <col min="4870" max="4870" width="10.140625" style="108" customWidth="1"/>
    <col min="4871" max="4871" width="14.140625" style="108" customWidth="1"/>
    <col min="4872" max="4872" width="8.5703125" style="108" customWidth="1"/>
    <col min="4873" max="4873" width="8.28515625" style="108" customWidth="1"/>
    <col min="4874" max="4874" width="9.140625" style="108" customWidth="1"/>
    <col min="4875" max="4875" width="9.5703125" style="108" customWidth="1"/>
    <col min="4876" max="4876" width="7.140625" style="108" customWidth="1"/>
    <col min="4877" max="4877" width="8.140625" style="108" customWidth="1"/>
    <col min="4878" max="5121" width="9.140625" style="108"/>
    <col min="5122" max="5122" width="34.42578125" style="108" customWidth="1"/>
    <col min="5123" max="5123" width="14.28515625" style="108" customWidth="1"/>
    <col min="5124" max="5124" width="15.42578125" style="108" customWidth="1"/>
    <col min="5125" max="5125" width="9.140625" style="108"/>
    <col min="5126" max="5126" width="10.140625" style="108" customWidth="1"/>
    <col min="5127" max="5127" width="14.140625" style="108" customWidth="1"/>
    <col min="5128" max="5128" width="8.5703125" style="108" customWidth="1"/>
    <col min="5129" max="5129" width="8.28515625" style="108" customWidth="1"/>
    <col min="5130" max="5130" width="9.140625" style="108" customWidth="1"/>
    <col min="5131" max="5131" width="9.5703125" style="108" customWidth="1"/>
    <col min="5132" max="5132" width="7.140625" style="108" customWidth="1"/>
    <col min="5133" max="5133" width="8.140625" style="108" customWidth="1"/>
    <col min="5134" max="5377" width="9.140625" style="108"/>
    <col min="5378" max="5378" width="34.42578125" style="108" customWidth="1"/>
    <col min="5379" max="5379" width="14.28515625" style="108" customWidth="1"/>
    <col min="5380" max="5380" width="15.42578125" style="108" customWidth="1"/>
    <col min="5381" max="5381" width="9.140625" style="108"/>
    <col min="5382" max="5382" width="10.140625" style="108" customWidth="1"/>
    <col min="5383" max="5383" width="14.140625" style="108" customWidth="1"/>
    <col min="5384" max="5384" width="8.5703125" style="108" customWidth="1"/>
    <col min="5385" max="5385" width="8.28515625" style="108" customWidth="1"/>
    <col min="5386" max="5386" width="9.140625" style="108" customWidth="1"/>
    <col min="5387" max="5387" width="9.5703125" style="108" customWidth="1"/>
    <col min="5388" max="5388" width="7.140625" style="108" customWidth="1"/>
    <col min="5389" max="5389" width="8.140625" style="108" customWidth="1"/>
    <col min="5390" max="5633" width="9.140625" style="108"/>
    <col min="5634" max="5634" width="34.42578125" style="108" customWidth="1"/>
    <col min="5635" max="5635" width="14.28515625" style="108" customWidth="1"/>
    <col min="5636" max="5636" width="15.42578125" style="108" customWidth="1"/>
    <col min="5637" max="5637" width="9.140625" style="108"/>
    <col min="5638" max="5638" width="10.140625" style="108" customWidth="1"/>
    <col min="5639" max="5639" width="14.140625" style="108" customWidth="1"/>
    <col min="5640" max="5640" width="8.5703125" style="108" customWidth="1"/>
    <col min="5641" max="5641" width="8.28515625" style="108" customWidth="1"/>
    <col min="5642" max="5642" width="9.140625" style="108" customWidth="1"/>
    <col min="5643" max="5643" width="9.5703125" style="108" customWidth="1"/>
    <col min="5644" max="5644" width="7.140625" style="108" customWidth="1"/>
    <col min="5645" max="5645" width="8.140625" style="108" customWidth="1"/>
    <col min="5646" max="5889" width="9.140625" style="108"/>
    <col min="5890" max="5890" width="34.42578125" style="108" customWidth="1"/>
    <col min="5891" max="5891" width="14.28515625" style="108" customWidth="1"/>
    <col min="5892" max="5892" width="15.42578125" style="108" customWidth="1"/>
    <col min="5893" max="5893" width="9.140625" style="108"/>
    <col min="5894" max="5894" width="10.140625" style="108" customWidth="1"/>
    <col min="5895" max="5895" width="14.140625" style="108" customWidth="1"/>
    <col min="5896" max="5896" width="8.5703125" style="108" customWidth="1"/>
    <col min="5897" max="5897" width="8.28515625" style="108" customWidth="1"/>
    <col min="5898" max="5898" width="9.140625" style="108" customWidth="1"/>
    <col min="5899" max="5899" width="9.5703125" style="108" customWidth="1"/>
    <col min="5900" max="5900" width="7.140625" style="108" customWidth="1"/>
    <col min="5901" max="5901" width="8.140625" style="108" customWidth="1"/>
    <col min="5902" max="6145" width="9.140625" style="108"/>
    <col min="6146" max="6146" width="34.42578125" style="108" customWidth="1"/>
    <col min="6147" max="6147" width="14.28515625" style="108" customWidth="1"/>
    <col min="6148" max="6148" width="15.42578125" style="108" customWidth="1"/>
    <col min="6149" max="6149" width="9.140625" style="108"/>
    <col min="6150" max="6150" width="10.140625" style="108" customWidth="1"/>
    <col min="6151" max="6151" width="14.140625" style="108" customWidth="1"/>
    <col min="6152" max="6152" width="8.5703125" style="108" customWidth="1"/>
    <col min="6153" max="6153" width="8.28515625" style="108" customWidth="1"/>
    <col min="6154" max="6154" width="9.140625" style="108" customWidth="1"/>
    <col min="6155" max="6155" width="9.5703125" style="108" customWidth="1"/>
    <col min="6156" max="6156" width="7.140625" style="108" customWidth="1"/>
    <col min="6157" max="6157" width="8.140625" style="108" customWidth="1"/>
    <col min="6158" max="6401" width="9.140625" style="108"/>
    <col min="6402" max="6402" width="34.42578125" style="108" customWidth="1"/>
    <col min="6403" max="6403" width="14.28515625" style="108" customWidth="1"/>
    <col min="6404" max="6404" width="15.42578125" style="108" customWidth="1"/>
    <col min="6405" max="6405" width="9.140625" style="108"/>
    <col min="6406" max="6406" width="10.140625" style="108" customWidth="1"/>
    <col min="6407" max="6407" width="14.140625" style="108" customWidth="1"/>
    <col min="6408" max="6408" width="8.5703125" style="108" customWidth="1"/>
    <col min="6409" max="6409" width="8.28515625" style="108" customWidth="1"/>
    <col min="6410" max="6410" width="9.140625" style="108" customWidth="1"/>
    <col min="6411" max="6411" width="9.5703125" style="108" customWidth="1"/>
    <col min="6412" max="6412" width="7.140625" style="108" customWidth="1"/>
    <col min="6413" max="6413" width="8.140625" style="108" customWidth="1"/>
    <col min="6414" max="6657" width="9.140625" style="108"/>
    <col min="6658" max="6658" width="34.42578125" style="108" customWidth="1"/>
    <col min="6659" max="6659" width="14.28515625" style="108" customWidth="1"/>
    <col min="6660" max="6660" width="15.42578125" style="108" customWidth="1"/>
    <col min="6661" max="6661" width="9.140625" style="108"/>
    <col min="6662" max="6662" width="10.140625" style="108" customWidth="1"/>
    <col min="6663" max="6663" width="14.140625" style="108" customWidth="1"/>
    <col min="6664" max="6664" width="8.5703125" style="108" customWidth="1"/>
    <col min="6665" max="6665" width="8.28515625" style="108" customWidth="1"/>
    <col min="6666" max="6666" width="9.140625" style="108" customWidth="1"/>
    <col min="6667" max="6667" width="9.5703125" style="108" customWidth="1"/>
    <col min="6668" max="6668" width="7.140625" style="108" customWidth="1"/>
    <col min="6669" max="6669" width="8.140625" style="108" customWidth="1"/>
    <col min="6670" max="6913" width="9.140625" style="108"/>
    <col min="6914" max="6914" width="34.42578125" style="108" customWidth="1"/>
    <col min="6915" max="6915" width="14.28515625" style="108" customWidth="1"/>
    <col min="6916" max="6916" width="15.42578125" style="108" customWidth="1"/>
    <col min="6917" max="6917" width="9.140625" style="108"/>
    <col min="6918" max="6918" width="10.140625" style="108" customWidth="1"/>
    <col min="6919" max="6919" width="14.140625" style="108" customWidth="1"/>
    <col min="6920" max="6920" width="8.5703125" style="108" customWidth="1"/>
    <col min="6921" max="6921" width="8.28515625" style="108" customWidth="1"/>
    <col min="6922" max="6922" width="9.140625" style="108" customWidth="1"/>
    <col min="6923" max="6923" width="9.5703125" style="108" customWidth="1"/>
    <col min="6924" max="6924" width="7.140625" style="108" customWidth="1"/>
    <col min="6925" max="6925" width="8.140625" style="108" customWidth="1"/>
    <col min="6926" max="7169" width="9.140625" style="108"/>
    <col min="7170" max="7170" width="34.42578125" style="108" customWidth="1"/>
    <col min="7171" max="7171" width="14.28515625" style="108" customWidth="1"/>
    <col min="7172" max="7172" width="15.42578125" style="108" customWidth="1"/>
    <col min="7173" max="7173" width="9.140625" style="108"/>
    <col min="7174" max="7174" width="10.140625" style="108" customWidth="1"/>
    <col min="7175" max="7175" width="14.140625" style="108" customWidth="1"/>
    <col min="7176" max="7176" width="8.5703125" style="108" customWidth="1"/>
    <col min="7177" max="7177" width="8.28515625" style="108" customWidth="1"/>
    <col min="7178" max="7178" width="9.140625" style="108" customWidth="1"/>
    <col min="7179" max="7179" width="9.5703125" style="108" customWidth="1"/>
    <col min="7180" max="7180" width="7.140625" style="108" customWidth="1"/>
    <col min="7181" max="7181" width="8.140625" style="108" customWidth="1"/>
    <col min="7182" max="7425" width="9.140625" style="108"/>
    <col min="7426" max="7426" width="34.42578125" style="108" customWidth="1"/>
    <col min="7427" max="7427" width="14.28515625" style="108" customWidth="1"/>
    <col min="7428" max="7428" width="15.42578125" style="108" customWidth="1"/>
    <col min="7429" max="7429" width="9.140625" style="108"/>
    <col min="7430" max="7430" width="10.140625" style="108" customWidth="1"/>
    <col min="7431" max="7431" width="14.140625" style="108" customWidth="1"/>
    <col min="7432" max="7432" width="8.5703125" style="108" customWidth="1"/>
    <col min="7433" max="7433" width="8.28515625" style="108" customWidth="1"/>
    <col min="7434" max="7434" width="9.140625" style="108" customWidth="1"/>
    <col min="7435" max="7435" width="9.5703125" style="108" customWidth="1"/>
    <col min="7436" max="7436" width="7.140625" style="108" customWidth="1"/>
    <col min="7437" max="7437" width="8.140625" style="108" customWidth="1"/>
    <col min="7438" max="7681" width="9.140625" style="108"/>
    <col min="7682" max="7682" width="34.42578125" style="108" customWidth="1"/>
    <col min="7683" max="7683" width="14.28515625" style="108" customWidth="1"/>
    <col min="7684" max="7684" width="15.42578125" style="108" customWidth="1"/>
    <col min="7685" max="7685" width="9.140625" style="108"/>
    <col min="7686" max="7686" width="10.140625" style="108" customWidth="1"/>
    <col min="7687" max="7687" width="14.140625" style="108" customWidth="1"/>
    <col min="7688" max="7688" width="8.5703125" style="108" customWidth="1"/>
    <col min="7689" max="7689" width="8.28515625" style="108" customWidth="1"/>
    <col min="7690" max="7690" width="9.140625" style="108" customWidth="1"/>
    <col min="7691" max="7691" width="9.5703125" style="108" customWidth="1"/>
    <col min="7692" max="7692" width="7.140625" style="108" customWidth="1"/>
    <col min="7693" max="7693" width="8.140625" style="108" customWidth="1"/>
    <col min="7694" max="7937" width="9.140625" style="108"/>
    <col min="7938" max="7938" width="34.42578125" style="108" customWidth="1"/>
    <col min="7939" max="7939" width="14.28515625" style="108" customWidth="1"/>
    <col min="7940" max="7940" width="15.42578125" style="108" customWidth="1"/>
    <col min="7941" max="7941" width="9.140625" style="108"/>
    <col min="7942" max="7942" width="10.140625" style="108" customWidth="1"/>
    <col min="7943" max="7943" width="14.140625" style="108" customWidth="1"/>
    <col min="7944" max="7944" width="8.5703125" style="108" customWidth="1"/>
    <col min="7945" max="7945" width="8.28515625" style="108" customWidth="1"/>
    <col min="7946" max="7946" width="9.140625" style="108" customWidth="1"/>
    <col min="7947" max="7947" width="9.5703125" style="108" customWidth="1"/>
    <col min="7948" max="7948" width="7.140625" style="108" customWidth="1"/>
    <col min="7949" max="7949" width="8.140625" style="108" customWidth="1"/>
    <col min="7950" max="8193" width="9.140625" style="108"/>
    <col min="8194" max="8194" width="34.42578125" style="108" customWidth="1"/>
    <col min="8195" max="8195" width="14.28515625" style="108" customWidth="1"/>
    <col min="8196" max="8196" width="15.42578125" style="108" customWidth="1"/>
    <col min="8197" max="8197" width="9.140625" style="108"/>
    <col min="8198" max="8198" width="10.140625" style="108" customWidth="1"/>
    <col min="8199" max="8199" width="14.140625" style="108" customWidth="1"/>
    <col min="8200" max="8200" width="8.5703125" style="108" customWidth="1"/>
    <col min="8201" max="8201" width="8.28515625" style="108" customWidth="1"/>
    <col min="8202" max="8202" width="9.140625" style="108" customWidth="1"/>
    <col min="8203" max="8203" width="9.5703125" style="108" customWidth="1"/>
    <col min="8204" max="8204" width="7.140625" style="108" customWidth="1"/>
    <col min="8205" max="8205" width="8.140625" style="108" customWidth="1"/>
    <col min="8206" max="8449" width="9.140625" style="108"/>
    <col min="8450" max="8450" width="34.42578125" style="108" customWidth="1"/>
    <col min="8451" max="8451" width="14.28515625" style="108" customWidth="1"/>
    <col min="8452" max="8452" width="15.42578125" style="108" customWidth="1"/>
    <col min="8453" max="8453" width="9.140625" style="108"/>
    <col min="8454" max="8454" width="10.140625" style="108" customWidth="1"/>
    <col min="8455" max="8455" width="14.140625" style="108" customWidth="1"/>
    <col min="8456" max="8456" width="8.5703125" style="108" customWidth="1"/>
    <col min="8457" max="8457" width="8.28515625" style="108" customWidth="1"/>
    <col min="8458" max="8458" width="9.140625" style="108" customWidth="1"/>
    <col min="8459" max="8459" width="9.5703125" style="108" customWidth="1"/>
    <col min="8460" max="8460" width="7.140625" style="108" customWidth="1"/>
    <col min="8461" max="8461" width="8.140625" style="108" customWidth="1"/>
    <col min="8462" max="8705" width="9.140625" style="108"/>
    <col min="8706" max="8706" width="34.42578125" style="108" customWidth="1"/>
    <col min="8707" max="8707" width="14.28515625" style="108" customWidth="1"/>
    <col min="8708" max="8708" width="15.42578125" style="108" customWidth="1"/>
    <col min="8709" max="8709" width="9.140625" style="108"/>
    <col min="8710" max="8710" width="10.140625" style="108" customWidth="1"/>
    <col min="8711" max="8711" width="14.140625" style="108" customWidth="1"/>
    <col min="8712" max="8712" width="8.5703125" style="108" customWidth="1"/>
    <col min="8713" max="8713" width="8.28515625" style="108" customWidth="1"/>
    <col min="8714" max="8714" width="9.140625" style="108" customWidth="1"/>
    <col min="8715" max="8715" width="9.5703125" style="108" customWidth="1"/>
    <col min="8716" max="8716" width="7.140625" style="108" customWidth="1"/>
    <col min="8717" max="8717" width="8.140625" style="108" customWidth="1"/>
    <col min="8718" max="8961" width="9.140625" style="108"/>
    <col min="8962" max="8962" width="34.42578125" style="108" customWidth="1"/>
    <col min="8963" max="8963" width="14.28515625" style="108" customWidth="1"/>
    <col min="8964" max="8964" width="15.42578125" style="108" customWidth="1"/>
    <col min="8965" max="8965" width="9.140625" style="108"/>
    <col min="8966" max="8966" width="10.140625" style="108" customWidth="1"/>
    <col min="8967" max="8967" width="14.140625" style="108" customWidth="1"/>
    <col min="8968" max="8968" width="8.5703125" style="108" customWidth="1"/>
    <col min="8969" max="8969" width="8.28515625" style="108" customWidth="1"/>
    <col min="8970" max="8970" width="9.140625" style="108" customWidth="1"/>
    <col min="8971" max="8971" width="9.5703125" style="108" customWidth="1"/>
    <col min="8972" max="8972" width="7.140625" style="108" customWidth="1"/>
    <col min="8973" max="8973" width="8.140625" style="108" customWidth="1"/>
    <col min="8974" max="9217" width="9.140625" style="108"/>
    <col min="9218" max="9218" width="34.42578125" style="108" customWidth="1"/>
    <col min="9219" max="9219" width="14.28515625" style="108" customWidth="1"/>
    <col min="9220" max="9220" width="15.42578125" style="108" customWidth="1"/>
    <col min="9221" max="9221" width="9.140625" style="108"/>
    <col min="9222" max="9222" width="10.140625" style="108" customWidth="1"/>
    <col min="9223" max="9223" width="14.140625" style="108" customWidth="1"/>
    <col min="9224" max="9224" width="8.5703125" style="108" customWidth="1"/>
    <col min="9225" max="9225" width="8.28515625" style="108" customWidth="1"/>
    <col min="9226" max="9226" width="9.140625" style="108" customWidth="1"/>
    <col min="9227" max="9227" width="9.5703125" style="108" customWidth="1"/>
    <col min="9228" max="9228" width="7.140625" style="108" customWidth="1"/>
    <col min="9229" max="9229" width="8.140625" style="108" customWidth="1"/>
    <col min="9230" max="9473" width="9.140625" style="108"/>
    <col min="9474" max="9474" width="34.42578125" style="108" customWidth="1"/>
    <col min="9475" max="9475" width="14.28515625" style="108" customWidth="1"/>
    <col min="9476" max="9476" width="15.42578125" style="108" customWidth="1"/>
    <col min="9477" max="9477" width="9.140625" style="108"/>
    <col min="9478" max="9478" width="10.140625" style="108" customWidth="1"/>
    <col min="9479" max="9479" width="14.140625" style="108" customWidth="1"/>
    <col min="9480" max="9480" width="8.5703125" style="108" customWidth="1"/>
    <col min="9481" max="9481" width="8.28515625" style="108" customWidth="1"/>
    <col min="9482" max="9482" width="9.140625" style="108" customWidth="1"/>
    <col min="9483" max="9483" width="9.5703125" style="108" customWidth="1"/>
    <col min="9484" max="9484" width="7.140625" style="108" customWidth="1"/>
    <col min="9485" max="9485" width="8.140625" style="108" customWidth="1"/>
    <col min="9486" max="9729" width="9.140625" style="108"/>
    <col min="9730" max="9730" width="34.42578125" style="108" customWidth="1"/>
    <col min="9731" max="9731" width="14.28515625" style="108" customWidth="1"/>
    <col min="9732" max="9732" width="15.42578125" style="108" customWidth="1"/>
    <col min="9733" max="9733" width="9.140625" style="108"/>
    <col min="9734" max="9734" width="10.140625" style="108" customWidth="1"/>
    <col min="9735" max="9735" width="14.140625" style="108" customWidth="1"/>
    <col min="9736" max="9736" width="8.5703125" style="108" customWidth="1"/>
    <col min="9737" max="9737" width="8.28515625" style="108" customWidth="1"/>
    <col min="9738" max="9738" width="9.140625" style="108" customWidth="1"/>
    <col min="9739" max="9739" width="9.5703125" style="108" customWidth="1"/>
    <col min="9740" max="9740" width="7.140625" style="108" customWidth="1"/>
    <col min="9741" max="9741" width="8.140625" style="108" customWidth="1"/>
    <col min="9742" max="9985" width="9.140625" style="108"/>
    <col min="9986" max="9986" width="34.42578125" style="108" customWidth="1"/>
    <col min="9987" max="9987" width="14.28515625" style="108" customWidth="1"/>
    <col min="9988" max="9988" width="15.42578125" style="108" customWidth="1"/>
    <col min="9989" max="9989" width="9.140625" style="108"/>
    <col min="9990" max="9990" width="10.140625" style="108" customWidth="1"/>
    <col min="9991" max="9991" width="14.140625" style="108" customWidth="1"/>
    <col min="9992" max="9992" width="8.5703125" style="108" customWidth="1"/>
    <col min="9993" max="9993" width="8.28515625" style="108" customWidth="1"/>
    <col min="9994" max="9994" width="9.140625" style="108" customWidth="1"/>
    <col min="9995" max="9995" width="9.5703125" style="108" customWidth="1"/>
    <col min="9996" max="9996" width="7.140625" style="108" customWidth="1"/>
    <col min="9997" max="9997" width="8.140625" style="108" customWidth="1"/>
    <col min="9998" max="10241" width="9.140625" style="108"/>
    <col min="10242" max="10242" width="34.42578125" style="108" customWidth="1"/>
    <col min="10243" max="10243" width="14.28515625" style="108" customWidth="1"/>
    <col min="10244" max="10244" width="15.42578125" style="108" customWidth="1"/>
    <col min="10245" max="10245" width="9.140625" style="108"/>
    <col min="10246" max="10246" width="10.140625" style="108" customWidth="1"/>
    <col min="10247" max="10247" width="14.140625" style="108" customWidth="1"/>
    <col min="10248" max="10248" width="8.5703125" style="108" customWidth="1"/>
    <col min="10249" max="10249" width="8.28515625" style="108" customWidth="1"/>
    <col min="10250" max="10250" width="9.140625" style="108" customWidth="1"/>
    <col min="10251" max="10251" width="9.5703125" style="108" customWidth="1"/>
    <col min="10252" max="10252" width="7.140625" style="108" customWidth="1"/>
    <col min="10253" max="10253" width="8.140625" style="108" customWidth="1"/>
    <col min="10254" max="10497" width="9.140625" style="108"/>
    <col min="10498" max="10498" width="34.42578125" style="108" customWidth="1"/>
    <col min="10499" max="10499" width="14.28515625" style="108" customWidth="1"/>
    <col min="10500" max="10500" width="15.42578125" style="108" customWidth="1"/>
    <col min="10501" max="10501" width="9.140625" style="108"/>
    <col min="10502" max="10502" width="10.140625" style="108" customWidth="1"/>
    <col min="10503" max="10503" width="14.140625" style="108" customWidth="1"/>
    <col min="10504" max="10504" width="8.5703125" style="108" customWidth="1"/>
    <col min="10505" max="10505" width="8.28515625" style="108" customWidth="1"/>
    <col min="10506" max="10506" width="9.140625" style="108" customWidth="1"/>
    <col min="10507" max="10507" width="9.5703125" style="108" customWidth="1"/>
    <col min="10508" max="10508" width="7.140625" style="108" customWidth="1"/>
    <col min="10509" max="10509" width="8.140625" style="108" customWidth="1"/>
    <col min="10510" max="10753" width="9.140625" style="108"/>
    <col min="10754" max="10754" width="34.42578125" style="108" customWidth="1"/>
    <col min="10755" max="10755" width="14.28515625" style="108" customWidth="1"/>
    <col min="10756" max="10756" width="15.42578125" style="108" customWidth="1"/>
    <col min="10757" max="10757" width="9.140625" style="108"/>
    <col min="10758" max="10758" width="10.140625" style="108" customWidth="1"/>
    <col min="10759" max="10759" width="14.140625" style="108" customWidth="1"/>
    <col min="10760" max="10760" width="8.5703125" style="108" customWidth="1"/>
    <col min="10761" max="10761" width="8.28515625" style="108" customWidth="1"/>
    <col min="10762" max="10762" width="9.140625" style="108" customWidth="1"/>
    <col min="10763" max="10763" width="9.5703125" style="108" customWidth="1"/>
    <col min="10764" max="10764" width="7.140625" style="108" customWidth="1"/>
    <col min="10765" max="10765" width="8.140625" style="108" customWidth="1"/>
    <col min="10766" max="11009" width="9.140625" style="108"/>
    <col min="11010" max="11010" width="34.42578125" style="108" customWidth="1"/>
    <col min="11011" max="11011" width="14.28515625" style="108" customWidth="1"/>
    <col min="11012" max="11012" width="15.42578125" style="108" customWidth="1"/>
    <col min="11013" max="11013" width="9.140625" style="108"/>
    <col min="11014" max="11014" width="10.140625" style="108" customWidth="1"/>
    <col min="11015" max="11015" width="14.140625" style="108" customWidth="1"/>
    <col min="11016" max="11016" width="8.5703125" style="108" customWidth="1"/>
    <col min="11017" max="11017" width="8.28515625" style="108" customWidth="1"/>
    <col min="11018" max="11018" width="9.140625" style="108" customWidth="1"/>
    <col min="11019" max="11019" width="9.5703125" style="108" customWidth="1"/>
    <col min="11020" max="11020" width="7.140625" style="108" customWidth="1"/>
    <col min="11021" max="11021" width="8.140625" style="108" customWidth="1"/>
    <col min="11022" max="11265" width="9.140625" style="108"/>
    <col min="11266" max="11266" width="34.42578125" style="108" customWidth="1"/>
    <col min="11267" max="11267" width="14.28515625" style="108" customWidth="1"/>
    <col min="11268" max="11268" width="15.42578125" style="108" customWidth="1"/>
    <col min="11269" max="11269" width="9.140625" style="108"/>
    <col min="11270" max="11270" width="10.140625" style="108" customWidth="1"/>
    <col min="11271" max="11271" width="14.140625" style="108" customWidth="1"/>
    <col min="11272" max="11272" width="8.5703125" style="108" customWidth="1"/>
    <col min="11273" max="11273" width="8.28515625" style="108" customWidth="1"/>
    <col min="11274" max="11274" width="9.140625" style="108" customWidth="1"/>
    <col min="11275" max="11275" width="9.5703125" style="108" customWidth="1"/>
    <col min="11276" max="11276" width="7.140625" style="108" customWidth="1"/>
    <col min="11277" max="11277" width="8.140625" style="108" customWidth="1"/>
    <col min="11278" max="11521" width="9.140625" style="108"/>
    <col min="11522" max="11522" width="34.42578125" style="108" customWidth="1"/>
    <col min="11523" max="11523" width="14.28515625" style="108" customWidth="1"/>
    <col min="11524" max="11524" width="15.42578125" style="108" customWidth="1"/>
    <col min="11525" max="11525" width="9.140625" style="108"/>
    <col min="11526" max="11526" width="10.140625" style="108" customWidth="1"/>
    <col min="11527" max="11527" width="14.140625" style="108" customWidth="1"/>
    <col min="11528" max="11528" width="8.5703125" style="108" customWidth="1"/>
    <col min="11529" max="11529" width="8.28515625" style="108" customWidth="1"/>
    <col min="11530" max="11530" width="9.140625" style="108" customWidth="1"/>
    <col min="11531" max="11531" width="9.5703125" style="108" customWidth="1"/>
    <col min="11532" max="11532" width="7.140625" style="108" customWidth="1"/>
    <col min="11533" max="11533" width="8.140625" style="108" customWidth="1"/>
    <col min="11534" max="11777" width="9.140625" style="108"/>
    <col min="11778" max="11778" width="34.42578125" style="108" customWidth="1"/>
    <col min="11779" max="11779" width="14.28515625" style="108" customWidth="1"/>
    <col min="11780" max="11780" width="15.42578125" style="108" customWidth="1"/>
    <col min="11781" max="11781" width="9.140625" style="108"/>
    <col min="11782" max="11782" width="10.140625" style="108" customWidth="1"/>
    <col min="11783" max="11783" width="14.140625" style="108" customWidth="1"/>
    <col min="11784" max="11784" width="8.5703125" style="108" customWidth="1"/>
    <col min="11785" max="11785" width="8.28515625" style="108" customWidth="1"/>
    <col min="11786" max="11786" width="9.140625" style="108" customWidth="1"/>
    <col min="11787" max="11787" width="9.5703125" style="108" customWidth="1"/>
    <col min="11788" max="11788" width="7.140625" style="108" customWidth="1"/>
    <col min="11789" max="11789" width="8.140625" style="108" customWidth="1"/>
    <col min="11790" max="12033" width="9.140625" style="108"/>
    <col min="12034" max="12034" width="34.42578125" style="108" customWidth="1"/>
    <col min="12035" max="12035" width="14.28515625" style="108" customWidth="1"/>
    <col min="12036" max="12036" width="15.42578125" style="108" customWidth="1"/>
    <col min="12037" max="12037" width="9.140625" style="108"/>
    <col min="12038" max="12038" width="10.140625" style="108" customWidth="1"/>
    <col min="12039" max="12039" width="14.140625" style="108" customWidth="1"/>
    <col min="12040" max="12040" width="8.5703125" style="108" customWidth="1"/>
    <col min="12041" max="12041" width="8.28515625" style="108" customWidth="1"/>
    <col min="12042" max="12042" width="9.140625" style="108" customWidth="1"/>
    <col min="12043" max="12043" width="9.5703125" style="108" customWidth="1"/>
    <col min="12044" max="12044" width="7.140625" style="108" customWidth="1"/>
    <col min="12045" max="12045" width="8.140625" style="108" customWidth="1"/>
    <col min="12046" max="12289" width="9.140625" style="108"/>
    <col min="12290" max="12290" width="34.42578125" style="108" customWidth="1"/>
    <col min="12291" max="12291" width="14.28515625" style="108" customWidth="1"/>
    <col min="12292" max="12292" width="15.42578125" style="108" customWidth="1"/>
    <col min="12293" max="12293" width="9.140625" style="108"/>
    <col min="12294" max="12294" width="10.140625" style="108" customWidth="1"/>
    <col min="12295" max="12295" width="14.140625" style="108" customWidth="1"/>
    <col min="12296" max="12296" width="8.5703125" style="108" customWidth="1"/>
    <col min="12297" max="12297" width="8.28515625" style="108" customWidth="1"/>
    <col min="12298" max="12298" width="9.140625" style="108" customWidth="1"/>
    <col min="12299" max="12299" width="9.5703125" style="108" customWidth="1"/>
    <col min="12300" max="12300" width="7.140625" style="108" customWidth="1"/>
    <col min="12301" max="12301" width="8.140625" style="108" customWidth="1"/>
    <col min="12302" max="12545" width="9.140625" style="108"/>
    <col min="12546" max="12546" width="34.42578125" style="108" customWidth="1"/>
    <col min="12547" max="12547" width="14.28515625" style="108" customWidth="1"/>
    <col min="12548" max="12548" width="15.42578125" style="108" customWidth="1"/>
    <col min="12549" max="12549" width="9.140625" style="108"/>
    <col min="12550" max="12550" width="10.140625" style="108" customWidth="1"/>
    <col min="12551" max="12551" width="14.140625" style="108" customWidth="1"/>
    <col min="12552" max="12552" width="8.5703125" style="108" customWidth="1"/>
    <col min="12553" max="12553" width="8.28515625" style="108" customWidth="1"/>
    <col min="12554" max="12554" width="9.140625" style="108" customWidth="1"/>
    <col min="12555" max="12555" width="9.5703125" style="108" customWidth="1"/>
    <col min="12556" max="12556" width="7.140625" style="108" customWidth="1"/>
    <col min="12557" max="12557" width="8.140625" style="108" customWidth="1"/>
    <col min="12558" max="12801" width="9.140625" style="108"/>
    <col min="12802" max="12802" width="34.42578125" style="108" customWidth="1"/>
    <col min="12803" max="12803" width="14.28515625" style="108" customWidth="1"/>
    <col min="12804" max="12804" width="15.42578125" style="108" customWidth="1"/>
    <col min="12805" max="12805" width="9.140625" style="108"/>
    <col min="12806" max="12806" width="10.140625" style="108" customWidth="1"/>
    <col min="12807" max="12807" width="14.140625" style="108" customWidth="1"/>
    <col min="12808" max="12808" width="8.5703125" style="108" customWidth="1"/>
    <col min="12809" max="12809" width="8.28515625" style="108" customWidth="1"/>
    <col min="12810" max="12810" width="9.140625" style="108" customWidth="1"/>
    <col min="12811" max="12811" width="9.5703125" style="108" customWidth="1"/>
    <col min="12812" max="12812" width="7.140625" style="108" customWidth="1"/>
    <col min="12813" max="12813" width="8.140625" style="108" customWidth="1"/>
    <col min="12814" max="13057" width="9.140625" style="108"/>
    <col min="13058" max="13058" width="34.42578125" style="108" customWidth="1"/>
    <col min="13059" max="13059" width="14.28515625" style="108" customWidth="1"/>
    <col min="13060" max="13060" width="15.42578125" style="108" customWidth="1"/>
    <col min="13061" max="13061" width="9.140625" style="108"/>
    <col min="13062" max="13062" width="10.140625" style="108" customWidth="1"/>
    <col min="13063" max="13063" width="14.140625" style="108" customWidth="1"/>
    <col min="13064" max="13064" width="8.5703125" style="108" customWidth="1"/>
    <col min="13065" max="13065" width="8.28515625" style="108" customWidth="1"/>
    <col min="13066" max="13066" width="9.140625" style="108" customWidth="1"/>
    <col min="13067" max="13067" width="9.5703125" style="108" customWidth="1"/>
    <col min="13068" max="13068" width="7.140625" style="108" customWidth="1"/>
    <col min="13069" max="13069" width="8.140625" style="108" customWidth="1"/>
    <col min="13070" max="13313" width="9.140625" style="108"/>
    <col min="13314" max="13314" width="34.42578125" style="108" customWidth="1"/>
    <col min="13315" max="13315" width="14.28515625" style="108" customWidth="1"/>
    <col min="13316" max="13316" width="15.42578125" style="108" customWidth="1"/>
    <col min="13317" max="13317" width="9.140625" style="108"/>
    <col min="13318" max="13318" width="10.140625" style="108" customWidth="1"/>
    <col min="13319" max="13319" width="14.140625" style="108" customWidth="1"/>
    <col min="13320" max="13320" width="8.5703125" style="108" customWidth="1"/>
    <col min="13321" max="13321" width="8.28515625" style="108" customWidth="1"/>
    <col min="13322" max="13322" width="9.140625" style="108" customWidth="1"/>
    <col min="13323" max="13323" width="9.5703125" style="108" customWidth="1"/>
    <col min="13324" max="13324" width="7.140625" style="108" customWidth="1"/>
    <col min="13325" max="13325" width="8.140625" style="108" customWidth="1"/>
    <col min="13326" max="13569" width="9.140625" style="108"/>
    <col min="13570" max="13570" width="34.42578125" style="108" customWidth="1"/>
    <col min="13571" max="13571" width="14.28515625" style="108" customWidth="1"/>
    <col min="13572" max="13572" width="15.42578125" style="108" customWidth="1"/>
    <col min="13573" max="13573" width="9.140625" style="108"/>
    <col min="13574" max="13574" width="10.140625" style="108" customWidth="1"/>
    <col min="13575" max="13575" width="14.140625" style="108" customWidth="1"/>
    <col min="13576" max="13576" width="8.5703125" style="108" customWidth="1"/>
    <col min="13577" max="13577" width="8.28515625" style="108" customWidth="1"/>
    <col min="13578" max="13578" width="9.140625" style="108" customWidth="1"/>
    <col min="13579" max="13579" width="9.5703125" style="108" customWidth="1"/>
    <col min="13580" max="13580" width="7.140625" style="108" customWidth="1"/>
    <col min="13581" max="13581" width="8.140625" style="108" customWidth="1"/>
    <col min="13582" max="13825" width="9.140625" style="108"/>
    <col min="13826" max="13826" width="34.42578125" style="108" customWidth="1"/>
    <col min="13827" max="13827" width="14.28515625" style="108" customWidth="1"/>
    <col min="13828" max="13828" width="15.42578125" style="108" customWidth="1"/>
    <col min="13829" max="13829" width="9.140625" style="108"/>
    <col min="13830" max="13830" width="10.140625" style="108" customWidth="1"/>
    <col min="13831" max="13831" width="14.140625" style="108" customWidth="1"/>
    <col min="13832" max="13832" width="8.5703125" style="108" customWidth="1"/>
    <col min="13833" max="13833" width="8.28515625" style="108" customWidth="1"/>
    <col min="13834" max="13834" width="9.140625" style="108" customWidth="1"/>
    <col min="13835" max="13835" width="9.5703125" style="108" customWidth="1"/>
    <col min="13836" max="13836" width="7.140625" style="108" customWidth="1"/>
    <col min="13837" max="13837" width="8.140625" style="108" customWidth="1"/>
    <col min="13838" max="14081" width="9.140625" style="108"/>
    <col min="14082" max="14082" width="34.42578125" style="108" customWidth="1"/>
    <col min="14083" max="14083" width="14.28515625" style="108" customWidth="1"/>
    <col min="14084" max="14084" width="15.42578125" style="108" customWidth="1"/>
    <col min="14085" max="14085" width="9.140625" style="108"/>
    <col min="14086" max="14086" width="10.140625" style="108" customWidth="1"/>
    <col min="14087" max="14087" width="14.140625" style="108" customWidth="1"/>
    <col min="14088" max="14088" width="8.5703125" style="108" customWidth="1"/>
    <col min="14089" max="14089" width="8.28515625" style="108" customWidth="1"/>
    <col min="14090" max="14090" width="9.140625" style="108" customWidth="1"/>
    <col min="14091" max="14091" width="9.5703125" style="108" customWidth="1"/>
    <col min="14092" max="14092" width="7.140625" style="108" customWidth="1"/>
    <col min="14093" max="14093" width="8.140625" style="108" customWidth="1"/>
    <col min="14094" max="14337" width="9.140625" style="108"/>
    <col min="14338" max="14338" width="34.42578125" style="108" customWidth="1"/>
    <col min="14339" max="14339" width="14.28515625" style="108" customWidth="1"/>
    <col min="14340" max="14340" width="15.42578125" style="108" customWidth="1"/>
    <col min="14341" max="14341" width="9.140625" style="108"/>
    <col min="14342" max="14342" width="10.140625" style="108" customWidth="1"/>
    <col min="14343" max="14343" width="14.140625" style="108" customWidth="1"/>
    <col min="14344" max="14344" width="8.5703125" style="108" customWidth="1"/>
    <col min="14345" max="14345" width="8.28515625" style="108" customWidth="1"/>
    <col min="14346" max="14346" width="9.140625" style="108" customWidth="1"/>
    <col min="14347" max="14347" width="9.5703125" style="108" customWidth="1"/>
    <col min="14348" max="14348" width="7.140625" style="108" customWidth="1"/>
    <col min="14349" max="14349" width="8.140625" style="108" customWidth="1"/>
    <col min="14350" max="14593" width="9.140625" style="108"/>
    <col min="14594" max="14594" width="34.42578125" style="108" customWidth="1"/>
    <col min="14595" max="14595" width="14.28515625" style="108" customWidth="1"/>
    <col min="14596" max="14596" width="15.42578125" style="108" customWidth="1"/>
    <col min="14597" max="14597" width="9.140625" style="108"/>
    <col min="14598" max="14598" width="10.140625" style="108" customWidth="1"/>
    <col min="14599" max="14599" width="14.140625" style="108" customWidth="1"/>
    <col min="14600" max="14600" width="8.5703125" style="108" customWidth="1"/>
    <col min="14601" max="14601" width="8.28515625" style="108" customWidth="1"/>
    <col min="14602" max="14602" width="9.140625" style="108" customWidth="1"/>
    <col min="14603" max="14603" width="9.5703125" style="108" customWidth="1"/>
    <col min="14604" max="14604" width="7.140625" style="108" customWidth="1"/>
    <col min="14605" max="14605" width="8.140625" style="108" customWidth="1"/>
    <col min="14606" max="14849" width="9.140625" style="108"/>
    <col min="14850" max="14850" width="34.42578125" style="108" customWidth="1"/>
    <col min="14851" max="14851" width="14.28515625" style="108" customWidth="1"/>
    <col min="14852" max="14852" width="15.42578125" style="108" customWidth="1"/>
    <col min="14853" max="14853" width="9.140625" style="108"/>
    <col min="14854" max="14854" width="10.140625" style="108" customWidth="1"/>
    <col min="14855" max="14855" width="14.140625" style="108" customWidth="1"/>
    <col min="14856" max="14856" width="8.5703125" style="108" customWidth="1"/>
    <col min="14857" max="14857" width="8.28515625" style="108" customWidth="1"/>
    <col min="14858" max="14858" width="9.140625" style="108" customWidth="1"/>
    <col min="14859" max="14859" width="9.5703125" style="108" customWidth="1"/>
    <col min="14860" max="14860" width="7.140625" style="108" customWidth="1"/>
    <col min="14861" max="14861" width="8.140625" style="108" customWidth="1"/>
    <col min="14862" max="15105" width="9.140625" style="108"/>
    <col min="15106" max="15106" width="34.42578125" style="108" customWidth="1"/>
    <col min="15107" max="15107" width="14.28515625" style="108" customWidth="1"/>
    <col min="15108" max="15108" width="15.42578125" style="108" customWidth="1"/>
    <col min="15109" max="15109" width="9.140625" style="108"/>
    <col min="15110" max="15110" width="10.140625" style="108" customWidth="1"/>
    <col min="15111" max="15111" width="14.140625" style="108" customWidth="1"/>
    <col min="15112" max="15112" width="8.5703125" style="108" customWidth="1"/>
    <col min="15113" max="15113" width="8.28515625" style="108" customWidth="1"/>
    <col min="15114" max="15114" width="9.140625" style="108" customWidth="1"/>
    <col min="15115" max="15115" width="9.5703125" style="108" customWidth="1"/>
    <col min="15116" max="15116" width="7.140625" style="108" customWidth="1"/>
    <col min="15117" max="15117" width="8.140625" style="108" customWidth="1"/>
    <col min="15118" max="15361" width="9.140625" style="108"/>
    <col min="15362" max="15362" width="34.42578125" style="108" customWidth="1"/>
    <col min="15363" max="15363" width="14.28515625" style="108" customWidth="1"/>
    <col min="15364" max="15364" width="15.42578125" style="108" customWidth="1"/>
    <col min="15365" max="15365" width="9.140625" style="108"/>
    <col min="15366" max="15366" width="10.140625" style="108" customWidth="1"/>
    <col min="15367" max="15367" width="14.140625" style="108" customWidth="1"/>
    <col min="15368" max="15368" width="8.5703125" style="108" customWidth="1"/>
    <col min="15369" max="15369" width="8.28515625" style="108" customWidth="1"/>
    <col min="15370" max="15370" width="9.140625" style="108" customWidth="1"/>
    <col min="15371" max="15371" width="9.5703125" style="108" customWidth="1"/>
    <col min="15372" max="15372" width="7.140625" style="108" customWidth="1"/>
    <col min="15373" max="15373" width="8.140625" style="108" customWidth="1"/>
    <col min="15374" max="15617" width="9.140625" style="108"/>
    <col min="15618" max="15618" width="34.42578125" style="108" customWidth="1"/>
    <col min="15619" max="15619" width="14.28515625" style="108" customWidth="1"/>
    <col min="15620" max="15620" width="15.42578125" style="108" customWidth="1"/>
    <col min="15621" max="15621" width="9.140625" style="108"/>
    <col min="15622" max="15622" width="10.140625" style="108" customWidth="1"/>
    <col min="15623" max="15623" width="14.140625" style="108" customWidth="1"/>
    <col min="15624" max="15624" width="8.5703125" style="108" customWidth="1"/>
    <col min="15625" max="15625" width="8.28515625" style="108" customWidth="1"/>
    <col min="15626" max="15626" width="9.140625" style="108" customWidth="1"/>
    <col min="15627" max="15627" width="9.5703125" style="108" customWidth="1"/>
    <col min="15628" max="15628" width="7.140625" style="108" customWidth="1"/>
    <col min="15629" max="15629" width="8.140625" style="108" customWidth="1"/>
    <col min="15630" max="15873" width="9.140625" style="108"/>
    <col min="15874" max="15874" width="34.42578125" style="108" customWidth="1"/>
    <col min="15875" max="15875" width="14.28515625" style="108" customWidth="1"/>
    <col min="15876" max="15876" width="15.42578125" style="108" customWidth="1"/>
    <col min="15877" max="15877" width="9.140625" style="108"/>
    <col min="15878" max="15878" width="10.140625" style="108" customWidth="1"/>
    <col min="15879" max="15879" width="14.140625" style="108" customWidth="1"/>
    <col min="15880" max="15880" width="8.5703125" style="108" customWidth="1"/>
    <col min="15881" max="15881" width="8.28515625" style="108" customWidth="1"/>
    <col min="15882" max="15882" width="9.140625" style="108" customWidth="1"/>
    <col min="15883" max="15883" width="9.5703125" style="108" customWidth="1"/>
    <col min="15884" max="15884" width="7.140625" style="108" customWidth="1"/>
    <col min="15885" max="15885" width="8.140625" style="108" customWidth="1"/>
    <col min="15886" max="16129" width="9.140625" style="108"/>
    <col min="16130" max="16130" width="34.42578125" style="108" customWidth="1"/>
    <col min="16131" max="16131" width="14.28515625" style="108" customWidth="1"/>
    <col min="16132" max="16132" width="15.42578125" style="108" customWidth="1"/>
    <col min="16133" max="16133" width="9.140625" style="108"/>
    <col min="16134" max="16134" width="10.140625" style="108" customWidth="1"/>
    <col min="16135" max="16135" width="14.140625" style="108" customWidth="1"/>
    <col min="16136" max="16136" width="8.5703125" style="108" customWidth="1"/>
    <col min="16137" max="16137" width="8.28515625" style="108" customWidth="1"/>
    <col min="16138" max="16138" width="9.140625" style="108" customWidth="1"/>
    <col min="16139" max="16139" width="9.5703125" style="108" customWidth="1"/>
    <col min="16140" max="16140" width="7.140625" style="108" customWidth="1"/>
    <col min="16141" max="16141" width="8.140625" style="108" customWidth="1"/>
    <col min="16142" max="16384" width="9.140625" style="108"/>
  </cols>
  <sheetData>
    <row r="1" spans="1:13">
      <c r="A1" s="666" t="s">
        <v>0</v>
      </c>
      <c r="B1" s="666"/>
      <c r="C1" s="666"/>
      <c r="D1" s="666"/>
      <c r="E1" s="666"/>
      <c r="F1" s="666"/>
      <c r="G1" s="1">
        <v>45627</v>
      </c>
      <c r="H1" s="2"/>
      <c r="I1" s="2"/>
      <c r="J1" s="2"/>
      <c r="K1" s="2"/>
      <c r="L1" s="2"/>
      <c r="M1" s="2"/>
    </row>
    <row r="2" spans="1:13" ht="25.5">
      <c r="A2" s="7" t="s">
        <v>1</v>
      </c>
      <c r="B2" s="10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7" t="s">
        <v>7</v>
      </c>
      <c r="H2" s="10" t="s">
        <v>8</v>
      </c>
      <c r="I2" s="10" t="s">
        <v>9</v>
      </c>
      <c r="J2" s="8" t="s">
        <v>10</v>
      </c>
      <c r="K2" s="134" t="s">
        <v>11</v>
      </c>
      <c r="L2" s="135" t="s">
        <v>12</v>
      </c>
      <c r="M2" s="134" t="s">
        <v>13</v>
      </c>
    </row>
    <row r="3" spans="1:13" s="562" customFormat="1">
      <c r="A3" s="554">
        <v>1</v>
      </c>
      <c r="B3" s="555" t="s">
        <v>14</v>
      </c>
      <c r="C3" s="451" t="s">
        <v>15</v>
      </c>
      <c r="D3" s="570" t="s">
        <v>16</v>
      </c>
      <c r="E3" s="46" t="s">
        <v>17</v>
      </c>
      <c r="F3" s="463">
        <v>16</v>
      </c>
      <c r="G3" s="463">
        <v>16</v>
      </c>
      <c r="H3" s="571">
        <v>1</v>
      </c>
      <c r="I3" s="571">
        <v>1</v>
      </c>
      <c r="J3" s="571">
        <v>1</v>
      </c>
      <c r="K3" s="571">
        <v>0</v>
      </c>
      <c r="L3" s="452">
        <v>1</v>
      </c>
      <c r="M3" s="465">
        <v>0</v>
      </c>
    </row>
    <row r="4" spans="1:13" s="562" customFormat="1">
      <c r="A4" s="554">
        <v>2</v>
      </c>
      <c r="B4" s="555" t="s">
        <v>18</v>
      </c>
      <c r="C4" s="451" t="s">
        <v>19</v>
      </c>
      <c r="D4" s="451" t="s">
        <v>20</v>
      </c>
      <c r="E4" s="563" t="s">
        <v>21</v>
      </c>
      <c r="F4" s="465">
        <v>28</v>
      </c>
      <c r="G4" s="465">
        <v>28</v>
      </c>
      <c r="H4" s="554">
        <v>1</v>
      </c>
      <c r="I4" s="554">
        <v>0</v>
      </c>
      <c r="J4" s="554">
        <v>0</v>
      </c>
      <c r="K4" s="554">
        <v>0</v>
      </c>
      <c r="L4" s="452">
        <v>0</v>
      </c>
      <c r="M4" s="465">
        <v>1</v>
      </c>
    </row>
    <row r="5" spans="1:13" s="562" customFormat="1">
      <c r="A5" s="554">
        <v>3</v>
      </c>
      <c r="B5" s="555" t="s">
        <v>22</v>
      </c>
      <c r="C5" s="382" t="s">
        <v>23</v>
      </c>
      <c r="D5" s="382"/>
      <c r="E5" s="129"/>
      <c r="F5" s="404">
        <v>26</v>
      </c>
      <c r="G5" s="404">
        <v>26</v>
      </c>
      <c r="H5" s="381">
        <v>0</v>
      </c>
      <c r="I5" s="381">
        <v>0</v>
      </c>
      <c r="J5" s="381">
        <v>0</v>
      </c>
      <c r="K5" s="381">
        <v>0</v>
      </c>
      <c r="L5" s="403">
        <v>1</v>
      </c>
      <c r="M5" s="404">
        <v>0</v>
      </c>
    </row>
    <row r="6" spans="1:13" s="562" customFormat="1">
      <c r="A6" s="554">
        <v>4</v>
      </c>
      <c r="B6" s="557" t="s">
        <v>24</v>
      </c>
      <c r="C6" s="382" t="s">
        <v>23</v>
      </c>
      <c r="D6" s="382"/>
      <c r="E6" s="129"/>
      <c r="F6" s="404">
        <v>26</v>
      </c>
      <c r="G6" s="404">
        <v>26</v>
      </c>
      <c r="H6" s="381">
        <v>0</v>
      </c>
      <c r="I6" s="381">
        <v>0</v>
      </c>
      <c r="J6" s="381">
        <v>0</v>
      </c>
      <c r="K6" s="381">
        <v>0</v>
      </c>
      <c r="L6" s="403">
        <v>1</v>
      </c>
      <c r="M6" s="404">
        <v>0</v>
      </c>
    </row>
    <row r="7" spans="1:13" s="562" customFormat="1">
      <c r="A7" s="554">
        <v>5</v>
      </c>
      <c r="B7" s="559" t="s">
        <v>25</v>
      </c>
      <c r="C7" s="572" t="s">
        <v>26</v>
      </c>
      <c r="D7" s="434"/>
      <c r="E7" s="129"/>
      <c r="F7" s="435">
        <v>15</v>
      </c>
      <c r="G7" s="435">
        <v>15</v>
      </c>
      <c r="H7" s="381">
        <v>0</v>
      </c>
      <c r="I7" s="381">
        <v>0</v>
      </c>
      <c r="J7" s="381">
        <v>0</v>
      </c>
      <c r="K7" s="381">
        <v>0</v>
      </c>
      <c r="L7" s="435">
        <v>1</v>
      </c>
      <c r="M7" s="31">
        <v>0</v>
      </c>
    </row>
    <row r="8" spans="1:13" s="562" customFormat="1">
      <c r="A8" s="554">
        <v>6</v>
      </c>
      <c r="B8" s="562" t="s">
        <v>27</v>
      </c>
      <c r="C8" s="382" t="s">
        <v>28</v>
      </c>
      <c r="D8" s="382"/>
      <c r="E8" s="129"/>
      <c r="F8" s="404">
        <v>31</v>
      </c>
      <c r="G8" s="404">
        <v>31</v>
      </c>
      <c r="H8" s="381">
        <v>0</v>
      </c>
      <c r="I8" s="381">
        <v>0</v>
      </c>
      <c r="J8" s="381">
        <v>0</v>
      </c>
      <c r="K8" s="381">
        <v>0</v>
      </c>
      <c r="L8" s="403">
        <v>1</v>
      </c>
      <c r="M8" s="404">
        <v>0</v>
      </c>
    </row>
    <row r="9" spans="1:13" s="562" customFormat="1">
      <c r="A9" s="554">
        <v>7</v>
      </c>
      <c r="B9" s="555" t="s">
        <v>29</v>
      </c>
      <c r="C9" s="382" t="s">
        <v>30</v>
      </c>
      <c r="D9" s="382"/>
      <c r="E9" s="129"/>
      <c r="F9" s="404">
        <v>23</v>
      </c>
      <c r="G9" s="404">
        <v>23</v>
      </c>
      <c r="H9" s="381">
        <v>0</v>
      </c>
      <c r="I9" s="381">
        <v>0</v>
      </c>
      <c r="J9" s="381">
        <v>0</v>
      </c>
      <c r="K9" s="381">
        <v>0</v>
      </c>
      <c r="L9" s="403">
        <v>0</v>
      </c>
      <c r="M9" s="404">
        <v>1</v>
      </c>
    </row>
    <row r="10" spans="1:13" s="562" customFormat="1">
      <c r="A10" s="554">
        <v>8</v>
      </c>
      <c r="B10" s="555" t="s">
        <v>31</v>
      </c>
      <c r="C10" s="382" t="s">
        <v>32</v>
      </c>
      <c r="D10" s="382"/>
      <c r="E10" s="129"/>
      <c r="F10" s="404">
        <v>21</v>
      </c>
      <c r="G10" s="404">
        <v>21</v>
      </c>
      <c r="H10" s="381">
        <v>0</v>
      </c>
      <c r="I10" s="381">
        <v>0</v>
      </c>
      <c r="J10" s="381">
        <v>0</v>
      </c>
      <c r="K10" s="381">
        <v>0</v>
      </c>
      <c r="L10" s="403">
        <v>1</v>
      </c>
      <c r="M10" s="404">
        <v>0</v>
      </c>
    </row>
    <row r="11" spans="1:13" s="562" customFormat="1">
      <c r="A11" s="554">
        <v>9</v>
      </c>
      <c r="B11" s="555" t="s">
        <v>33</v>
      </c>
      <c r="C11" s="451" t="s">
        <v>34</v>
      </c>
      <c r="D11" s="451" t="s">
        <v>35</v>
      </c>
      <c r="E11" s="573" t="s">
        <v>36</v>
      </c>
      <c r="F11" s="465">
        <v>17</v>
      </c>
      <c r="G11" s="465">
        <v>17</v>
      </c>
      <c r="H11" s="554">
        <v>1</v>
      </c>
      <c r="I11" s="554">
        <v>0</v>
      </c>
      <c r="J11" s="554">
        <v>0</v>
      </c>
      <c r="K11" s="554">
        <v>0</v>
      </c>
      <c r="L11" s="452">
        <v>1</v>
      </c>
      <c r="M11" s="465">
        <v>0</v>
      </c>
    </row>
    <row r="12" spans="1:13" s="562" customFormat="1">
      <c r="A12" s="554">
        <v>10</v>
      </c>
      <c r="B12" s="555" t="s">
        <v>37</v>
      </c>
      <c r="C12" s="451" t="s">
        <v>34</v>
      </c>
      <c r="D12" s="451" t="s">
        <v>38</v>
      </c>
      <c r="E12" s="573" t="s">
        <v>36</v>
      </c>
      <c r="F12" s="465">
        <v>14</v>
      </c>
      <c r="G12" s="465">
        <v>14</v>
      </c>
      <c r="H12" s="554">
        <v>1</v>
      </c>
      <c r="I12" s="554">
        <v>0</v>
      </c>
      <c r="J12" s="554">
        <v>0</v>
      </c>
      <c r="K12" s="554">
        <v>0</v>
      </c>
      <c r="L12" s="452">
        <v>0</v>
      </c>
      <c r="M12" s="465">
        <v>1</v>
      </c>
    </row>
    <row r="13" spans="1:13" s="562" customFormat="1">
      <c r="A13" s="554">
        <v>11</v>
      </c>
      <c r="B13" s="555" t="s">
        <v>39</v>
      </c>
      <c r="C13" s="382" t="s">
        <v>40</v>
      </c>
      <c r="D13" s="495"/>
      <c r="E13" s="129"/>
      <c r="F13" s="438">
        <v>31</v>
      </c>
      <c r="G13" s="438">
        <v>31</v>
      </c>
      <c r="H13" s="381">
        <v>0</v>
      </c>
      <c r="I13" s="381">
        <v>0</v>
      </c>
      <c r="J13" s="381">
        <v>0</v>
      </c>
      <c r="K13" s="381">
        <v>0</v>
      </c>
      <c r="L13" s="403">
        <v>0</v>
      </c>
      <c r="M13" s="404">
        <v>1</v>
      </c>
    </row>
    <row r="14" spans="1:13" s="562" customFormat="1">
      <c r="A14" s="554">
        <v>12</v>
      </c>
      <c r="B14" s="555" t="s">
        <v>41</v>
      </c>
      <c r="C14" s="451" t="s">
        <v>42</v>
      </c>
      <c r="D14" s="451" t="s">
        <v>43</v>
      </c>
      <c r="E14" s="573" t="s">
        <v>36</v>
      </c>
      <c r="F14" s="465">
        <v>7</v>
      </c>
      <c r="G14" s="465">
        <v>7</v>
      </c>
      <c r="H14" s="554">
        <v>1</v>
      </c>
      <c r="I14" s="554">
        <v>0</v>
      </c>
      <c r="J14" s="554">
        <v>0</v>
      </c>
      <c r="K14" s="554">
        <v>0</v>
      </c>
      <c r="L14" s="452">
        <v>1</v>
      </c>
      <c r="M14" s="465">
        <v>0</v>
      </c>
    </row>
    <row r="15" spans="1:13" s="562" customFormat="1">
      <c r="A15" s="554">
        <v>13</v>
      </c>
      <c r="B15" s="555" t="s">
        <v>44</v>
      </c>
      <c r="C15" s="382" t="s">
        <v>45</v>
      </c>
      <c r="D15" s="382"/>
      <c r="E15" s="129"/>
      <c r="F15" s="404">
        <v>24</v>
      </c>
      <c r="G15" s="404">
        <v>24</v>
      </c>
      <c r="H15" s="381">
        <v>0</v>
      </c>
      <c r="I15" s="381">
        <v>0</v>
      </c>
      <c r="J15" s="381">
        <v>0</v>
      </c>
      <c r="K15" s="381">
        <v>0</v>
      </c>
      <c r="L15" s="403">
        <v>1</v>
      </c>
      <c r="M15" s="404">
        <v>0</v>
      </c>
    </row>
    <row r="16" spans="1:13" s="562" customFormat="1">
      <c r="A16" s="554">
        <v>14</v>
      </c>
      <c r="B16" s="555" t="s">
        <v>46</v>
      </c>
      <c r="C16" s="451" t="s">
        <v>47</v>
      </c>
      <c r="D16" s="451" t="s">
        <v>48</v>
      </c>
      <c r="E16" s="573" t="s">
        <v>36</v>
      </c>
      <c r="F16" s="465">
        <v>31</v>
      </c>
      <c r="G16" s="465">
        <v>31</v>
      </c>
      <c r="H16" s="554">
        <v>1</v>
      </c>
      <c r="I16" s="554">
        <v>0</v>
      </c>
      <c r="J16" s="554">
        <v>0</v>
      </c>
      <c r="K16" s="554">
        <v>0</v>
      </c>
      <c r="L16" s="452">
        <v>1</v>
      </c>
      <c r="M16" s="465">
        <v>0</v>
      </c>
    </row>
    <row r="17" spans="1:13" s="562" customFormat="1">
      <c r="A17" s="554">
        <v>15</v>
      </c>
      <c r="B17" s="555" t="s">
        <v>49</v>
      </c>
      <c r="C17" s="382" t="s">
        <v>50</v>
      </c>
      <c r="D17" s="382"/>
      <c r="E17" s="129"/>
      <c r="F17" s="404">
        <v>31</v>
      </c>
      <c r="G17" s="404">
        <v>31</v>
      </c>
      <c r="H17" s="381">
        <v>0</v>
      </c>
      <c r="I17" s="381">
        <v>0</v>
      </c>
      <c r="J17" s="381">
        <v>0</v>
      </c>
      <c r="K17" s="381">
        <v>0</v>
      </c>
      <c r="L17" s="403">
        <v>0</v>
      </c>
      <c r="M17" s="404">
        <v>1</v>
      </c>
    </row>
    <row r="18" spans="1:13" s="562" customFormat="1">
      <c r="A18" s="554">
        <v>16</v>
      </c>
      <c r="B18" s="555" t="s">
        <v>51</v>
      </c>
      <c r="C18" s="451" t="s">
        <v>42</v>
      </c>
      <c r="D18" s="451" t="s">
        <v>52</v>
      </c>
      <c r="E18" s="573" t="s">
        <v>36</v>
      </c>
      <c r="F18" s="465">
        <v>5</v>
      </c>
      <c r="G18" s="465">
        <v>5</v>
      </c>
      <c r="H18" s="554">
        <v>1</v>
      </c>
      <c r="I18" s="554">
        <v>0</v>
      </c>
      <c r="J18" s="554">
        <v>0</v>
      </c>
      <c r="K18" s="554">
        <v>0</v>
      </c>
      <c r="L18" s="452">
        <v>1</v>
      </c>
      <c r="M18" s="465">
        <v>0</v>
      </c>
    </row>
    <row r="19" spans="1:13" s="562" customFormat="1">
      <c r="A19" s="554">
        <v>17</v>
      </c>
      <c r="B19" s="555" t="s">
        <v>53</v>
      </c>
      <c r="C19" s="451" t="s">
        <v>54</v>
      </c>
      <c r="D19" s="451" t="s">
        <v>55</v>
      </c>
      <c r="E19" s="573" t="s">
        <v>36</v>
      </c>
      <c r="F19" s="465">
        <v>18</v>
      </c>
      <c r="G19" s="465">
        <v>18</v>
      </c>
      <c r="H19" s="554">
        <v>1</v>
      </c>
      <c r="I19" s="554">
        <v>0</v>
      </c>
      <c r="J19" s="554">
        <v>0</v>
      </c>
      <c r="K19" s="554">
        <v>0</v>
      </c>
      <c r="L19" s="452">
        <v>0</v>
      </c>
      <c r="M19" s="465">
        <v>1</v>
      </c>
    </row>
    <row r="20" spans="1:13" s="562" customFormat="1">
      <c r="A20" s="554">
        <v>18</v>
      </c>
      <c r="B20" s="555" t="s">
        <v>56</v>
      </c>
      <c r="C20" s="451" t="s">
        <v>34</v>
      </c>
      <c r="D20" s="451" t="s">
        <v>26</v>
      </c>
      <c r="E20" s="206" t="s">
        <v>57</v>
      </c>
      <c r="F20" s="465">
        <v>4</v>
      </c>
      <c r="G20" s="465">
        <v>3</v>
      </c>
      <c r="H20" s="554">
        <v>1</v>
      </c>
      <c r="I20" s="554">
        <v>0</v>
      </c>
      <c r="J20" s="554">
        <v>0</v>
      </c>
      <c r="K20" s="554">
        <v>0</v>
      </c>
      <c r="L20" s="452">
        <v>1</v>
      </c>
      <c r="M20" s="465">
        <v>0</v>
      </c>
    </row>
    <row r="21" spans="1:13" s="562" customFormat="1">
      <c r="A21" s="554">
        <v>19</v>
      </c>
      <c r="B21" s="555" t="s">
        <v>58</v>
      </c>
      <c r="C21" s="382" t="s">
        <v>59</v>
      </c>
      <c r="D21" s="382"/>
      <c r="E21" s="129"/>
      <c r="F21" s="404">
        <v>31</v>
      </c>
      <c r="G21" s="404">
        <v>31</v>
      </c>
      <c r="H21" s="381">
        <v>0</v>
      </c>
      <c r="I21" s="381">
        <v>0</v>
      </c>
      <c r="J21" s="381">
        <v>0</v>
      </c>
      <c r="K21" s="381">
        <v>0</v>
      </c>
      <c r="L21" s="403">
        <v>0</v>
      </c>
      <c r="M21" s="404">
        <v>1</v>
      </c>
    </row>
    <row r="22" spans="1:13" s="562" customFormat="1">
      <c r="A22" s="554">
        <v>20</v>
      </c>
      <c r="B22" s="555" t="s">
        <v>60</v>
      </c>
      <c r="C22" s="451" t="s">
        <v>23</v>
      </c>
      <c r="D22" s="451" t="s">
        <v>52</v>
      </c>
      <c r="E22" s="574" t="s">
        <v>61</v>
      </c>
      <c r="F22" s="465">
        <v>15</v>
      </c>
      <c r="G22" s="465">
        <v>15</v>
      </c>
      <c r="H22" s="554">
        <v>1</v>
      </c>
      <c r="I22" s="554">
        <v>0</v>
      </c>
      <c r="J22" s="554">
        <v>0</v>
      </c>
      <c r="K22" s="554">
        <v>0</v>
      </c>
      <c r="L22" s="452">
        <v>1</v>
      </c>
      <c r="M22" s="465">
        <v>0</v>
      </c>
    </row>
    <row r="23" spans="1:13" s="562" customFormat="1">
      <c r="A23" s="554">
        <v>21</v>
      </c>
      <c r="B23" s="555" t="s">
        <v>62</v>
      </c>
      <c r="C23" s="382" t="s">
        <v>59</v>
      </c>
      <c r="D23" s="382"/>
      <c r="E23" s="129"/>
      <c r="F23" s="404">
        <v>31</v>
      </c>
      <c r="G23" s="404">
        <v>31</v>
      </c>
      <c r="H23" s="381">
        <v>0</v>
      </c>
      <c r="I23" s="381">
        <v>0</v>
      </c>
      <c r="J23" s="381">
        <v>0</v>
      </c>
      <c r="K23" s="381">
        <v>0</v>
      </c>
      <c r="L23" s="403">
        <v>0</v>
      </c>
      <c r="M23" s="404">
        <v>1</v>
      </c>
    </row>
    <row r="24" spans="1:13" s="562" customFormat="1">
      <c r="A24" s="554">
        <v>22</v>
      </c>
      <c r="B24" s="555" t="s">
        <v>63</v>
      </c>
      <c r="C24" s="451" t="s">
        <v>32</v>
      </c>
      <c r="D24" s="451" t="s">
        <v>16</v>
      </c>
      <c r="E24" s="573" t="s">
        <v>36</v>
      </c>
      <c r="F24" s="465">
        <v>9</v>
      </c>
      <c r="G24" s="465">
        <v>9</v>
      </c>
      <c r="H24" s="554">
        <v>1</v>
      </c>
      <c r="I24" s="554">
        <v>0</v>
      </c>
      <c r="J24" s="554">
        <v>0</v>
      </c>
      <c r="K24" s="554">
        <v>0</v>
      </c>
      <c r="L24" s="452">
        <v>0</v>
      </c>
      <c r="M24" s="465">
        <v>1</v>
      </c>
    </row>
    <row r="25" spans="1:13" s="562" customFormat="1">
      <c r="A25" s="554">
        <v>23</v>
      </c>
      <c r="B25" s="555" t="s">
        <v>64</v>
      </c>
      <c r="C25" s="382" t="s">
        <v>15</v>
      </c>
      <c r="D25" s="382"/>
      <c r="E25" s="129"/>
      <c r="F25" s="404">
        <v>28</v>
      </c>
      <c r="G25" s="404">
        <v>28</v>
      </c>
      <c r="H25" s="381">
        <v>0</v>
      </c>
      <c r="I25" s="381">
        <v>0</v>
      </c>
      <c r="J25" s="381">
        <v>0</v>
      </c>
      <c r="K25" s="381">
        <v>0</v>
      </c>
      <c r="L25" s="403">
        <v>1</v>
      </c>
      <c r="M25" s="404">
        <v>0</v>
      </c>
    </row>
    <row r="26" spans="1:13" s="562" customFormat="1">
      <c r="A26" s="554">
        <v>24</v>
      </c>
      <c r="B26" s="555" t="s">
        <v>65</v>
      </c>
      <c r="C26" s="451" t="s">
        <v>66</v>
      </c>
      <c r="D26" s="451" t="s">
        <v>67</v>
      </c>
      <c r="E26" s="573" t="s">
        <v>36</v>
      </c>
      <c r="F26" s="465">
        <v>24</v>
      </c>
      <c r="G26" s="465">
        <v>24</v>
      </c>
      <c r="H26" s="554">
        <v>1</v>
      </c>
      <c r="I26" s="554">
        <v>0</v>
      </c>
      <c r="J26" s="554">
        <v>0</v>
      </c>
      <c r="K26" s="554">
        <v>0</v>
      </c>
      <c r="L26" s="452">
        <v>1</v>
      </c>
      <c r="M26" s="465">
        <v>0</v>
      </c>
    </row>
    <row r="27" spans="1:13" s="562" customFormat="1">
      <c r="A27" s="554">
        <v>25</v>
      </c>
      <c r="B27" s="555" t="s">
        <v>68</v>
      </c>
      <c r="C27" s="451" t="s">
        <v>69</v>
      </c>
      <c r="D27" s="451" t="s">
        <v>26</v>
      </c>
      <c r="E27" s="573" t="s">
        <v>36</v>
      </c>
      <c r="F27" s="465">
        <v>18</v>
      </c>
      <c r="G27" s="465">
        <v>18</v>
      </c>
      <c r="H27" s="554">
        <v>1</v>
      </c>
      <c r="I27" s="554">
        <v>0</v>
      </c>
      <c r="J27" s="554">
        <v>0</v>
      </c>
      <c r="K27" s="554">
        <v>0</v>
      </c>
      <c r="L27" s="452">
        <v>0</v>
      </c>
      <c r="M27" s="465">
        <v>1</v>
      </c>
    </row>
    <row r="28" spans="1:13" s="562" customFormat="1">
      <c r="A28" s="554">
        <v>26</v>
      </c>
      <c r="B28" s="555" t="s">
        <v>70</v>
      </c>
      <c r="C28" s="382" t="s">
        <v>52</v>
      </c>
      <c r="D28" s="382"/>
      <c r="E28" s="129"/>
      <c r="F28" s="404">
        <v>12</v>
      </c>
      <c r="G28" s="404">
        <v>12</v>
      </c>
      <c r="H28" s="381">
        <v>0</v>
      </c>
      <c r="I28" s="381">
        <v>0</v>
      </c>
      <c r="J28" s="381">
        <v>0</v>
      </c>
      <c r="K28" s="381">
        <v>0</v>
      </c>
      <c r="L28" s="403">
        <v>1</v>
      </c>
      <c r="M28" s="404">
        <v>0</v>
      </c>
    </row>
    <row r="29" spans="1:13" s="562" customFormat="1">
      <c r="A29" s="554">
        <v>27</v>
      </c>
      <c r="B29" s="557" t="s">
        <v>71</v>
      </c>
      <c r="C29" s="382" t="s">
        <v>52</v>
      </c>
      <c r="D29" s="382"/>
      <c r="E29" s="129"/>
      <c r="F29" s="404">
        <v>12</v>
      </c>
      <c r="G29" s="404">
        <v>12</v>
      </c>
      <c r="H29" s="381">
        <v>0</v>
      </c>
      <c r="I29" s="381">
        <v>0</v>
      </c>
      <c r="J29" s="381">
        <v>0</v>
      </c>
      <c r="K29" s="381">
        <v>0</v>
      </c>
      <c r="L29" s="403">
        <v>0</v>
      </c>
      <c r="M29" s="404">
        <v>1</v>
      </c>
    </row>
    <row r="30" spans="1:13" s="562" customFormat="1">
      <c r="A30" s="554">
        <v>28</v>
      </c>
      <c r="B30" s="557" t="s">
        <v>72</v>
      </c>
      <c r="C30" s="382" t="s">
        <v>43</v>
      </c>
      <c r="D30" s="382"/>
      <c r="E30" s="129"/>
      <c r="F30" s="403">
        <v>10</v>
      </c>
      <c r="G30" s="403">
        <v>10</v>
      </c>
      <c r="H30" s="381">
        <v>0</v>
      </c>
      <c r="I30" s="381">
        <v>0</v>
      </c>
      <c r="J30" s="381">
        <v>0</v>
      </c>
      <c r="K30" s="381">
        <v>0</v>
      </c>
      <c r="L30" s="403">
        <v>1</v>
      </c>
      <c r="M30" s="404">
        <v>0</v>
      </c>
    </row>
    <row r="31" spans="1:13" s="562" customFormat="1">
      <c r="A31" s="554">
        <v>29</v>
      </c>
      <c r="B31" s="557" t="s">
        <v>73</v>
      </c>
      <c r="C31" s="451" t="s">
        <v>74</v>
      </c>
      <c r="D31" s="451" t="s">
        <v>35</v>
      </c>
      <c r="E31" s="573" t="s">
        <v>36</v>
      </c>
      <c r="F31" s="452">
        <v>10</v>
      </c>
      <c r="G31" s="452">
        <v>10</v>
      </c>
      <c r="H31" s="466">
        <v>1</v>
      </c>
      <c r="I31" s="466">
        <v>0</v>
      </c>
      <c r="J31" s="466">
        <v>0</v>
      </c>
      <c r="K31" s="466">
        <v>0</v>
      </c>
      <c r="L31" s="452">
        <v>1</v>
      </c>
      <c r="M31" s="465">
        <v>0</v>
      </c>
    </row>
    <row r="32" spans="1:13" s="562" customFormat="1">
      <c r="A32" s="554">
        <v>30</v>
      </c>
      <c r="B32" s="559" t="s">
        <v>75</v>
      </c>
      <c r="C32" s="560" t="s">
        <v>74</v>
      </c>
      <c r="D32" s="560" t="s">
        <v>20</v>
      </c>
      <c r="E32" s="573" t="s">
        <v>36</v>
      </c>
      <c r="F32" s="408">
        <v>8</v>
      </c>
      <c r="G32" s="408">
        <v>8</v>
      </c>
      <c r="H32" s="408">
        <v>1</v>
      </c>
      <c r="I32" s="408">
        <v>0</v>
      </c>
      <c r="J32" s="408">
        <v>0</v>
      </c>
      <c r="K32" s="408">
        <v>0</v>
      </c>
      <c r="L32" s="408">
        <v>1</v>
      </c>
      <c r="M32" s="409">
        <v>0</v>
      </c>
    </row>
    <row r="33" spans="1:13" s="562" customFormat="1">
      <c r="A33" s="554">
        <v>31</v>
      </c>
      <c r="B33" s="559" t="s">
        <v>76</v>
      </c>
      <c r="C33" s="560" t="s">
        <v>67</v>
      </c>
      <c r="D33" s="560" t="s">
        <v>20</v>
      </c>
      <c r="E33" s="573" t="s">
        <v>36</v>
      </c>
      <c r="F33" s="408">
        <v>6</v>
      </c>
      <c r="G33" s="408">
        <v>6</v>
      </c>
      <c r="H33" s="408">
        <v>1</v>
      </c>
      <c r="I33" s="408">
        <v>0</v>
      </c>
      <c r="J33" s="408">
        <v>0</v>
      </c>
      <c r="K33" s="408">
        <v>0</v>
      </c>
      <c r="L33" s="408">
        <v>0</v>
      </c>
      <c r="M33" s="409">
        <v>1</v>
      </c>
    </row>
    <row r="34" spans="1:13" s="562" customFormat="1">
      <c r="A34" s="554">
        <v>32</v>
      </c>
      <c r="B34" s="562" t="s">
        <v>77</v>
      </c>
      <c r="C34" s="560" t="s">
        <v>67</v>
      </c>
      <c r="D34" s="560" t="s">
        <v>78</v>
      </c>
      <c r="E34" s="46" t="s">
        <v>17</v>
      </c>
      <c r="F34" s="408">
        <v>1</v>
      </c>
      <c r="G34" s="408">
        <v>1</v>
      </c>
      <c r="H34" s="408">
        <v>1</v>
      </c>
      <c r="I34" s="408">
        <v>1</v>
      </c>
      <c r="J34" s="408">
        <v>0</v>
      </c>
      <c r="K34" s="408">
        <v>1</v>
      </c>
      <c r="L34" s="408">
        <v>0</v>
      </c>
      <c r="M34" s="409">
        <v>1</v>
      </c>
    </row>
    <row r="35" spans="1:13" s="562" customFormat="1">
      <c r="A35" s="554">
        <v>33</v>
      </c>
      <c r="B35" s="555" t="s">
        <v>79</v>
      </c>
      <c r="C35" s="451" t="s">
        <v>80</v>
      </c>
      <c r="D35" s="451" t="s">
        <v>20</v>
      </c>
      <c r="E35" s="575" t="s">
        <v>81</v>
      </c>
      <c r="F35" s="465">
        <v>3</v>
      </c>
      <c r="G35" s="465">
        <v>3</v>
      </c>
      <c r="H35" s="554">
        <v>1</v>
      </c>
      <c r="I35" s="554">
        <v>0</v>
      </c>
      <c r="J35" s="554">
        <v>0</v>
      </c>
      <c r="K35" s="554">
        <v>0</v>
      </c>
      <c r="L35" s="452">
        <v>1</v>
      </c>
      <c r="M35" s="465">
        <v>0</v>
      </c>
    </row>
    <row r="36" spans="1:13" s="562" customFormat="1">
      <c r="A36" s="554">
        <v>34</v>
      </c>
      <c r="B36" s="555" t="s">
        <v>82</v>
      </c>
      <c r="C36" s="382" t="s">
        <v>35</v>
      </c>
      <c r="D36" s="382"/>
      <c r="E36" s="129"/>
      <c r="F36" s="404">
        <v>2</v>
      </c>
      <c r="G36" s="404">
        <v>2</v>
      </c>
      <c r="H36" s="381">
        <v>0</v>
      </c>
      <c r="I36" s="381">
        <v>0</v>
      </c>
      <c r="J36" s="381">
        <v>0</v>
      </c>
      <c r="K36" s="381">
        <v>0</v>
      </c>
      <c r="L36" s="403">
        <v>1</v>
      </c>
      <c r="M36" s="404">
        <v>0</v>
      </c>
    </row>
    <row r="37" spans="1:13" s="562" customFormat="1">
      <c r="A37" s="554">
        <v>35</v>
      </c>
      <c r="B37" s="557" t="s">
        <v>83</v>
      </c>
      <c r="C37" s="382" t="s">
        <v>20</v>
      </c>
      <c r="D37" s="382"/>
      <c r="E37" s="129"/>
      <c r="F37" s="404">
        <v>4</v>
      </c>
      <c r="G37" s="404">
        <v>4</v>
      </c>
      <c r="H37" s="381">
        <v>0</v>
      </c>
      <c r="I37" s="381">
        <v>0</v>
      </c>
      <c r="J37" s="381">
        <v>0</v>
      </c>
      <c r="K37" s="381">
        <v>0</v>
      </c>
      <c r="L37" s="403">
        <v>0</v>
      </c>
      <c r="M37" s="404">
        <v>1</v>
      </c>
    </row>
    <row r="38" spans="1:13" s="562" customFormat="1">
      <c r="A38" s="554">
        <v>36</v>
      </c>
      <c r="B38" s="562" t="s">
        <v>84</v>
      </c>
      <c r="C38" s="382" t="s">
        <v>85</v>
      </c>
      <c r="D38" s="382"/>
      <c r="E38" s="129"/>
      <c r="F38" s="404">
        <v>3</v>
      </c>
      <c r="G38" s="404">
        <v>3</v>
      </c>
      <c r="H38" s="381">
        <v>0</v>
      </c>
      <c r="I38" s="381">
        <v>0</v>
      </c>
      <c r="J38" s="381">
        <v>0</v>
      </c>
      <c r="K38" s="381">
        <v>0</v>
      </c>
      <c r="L38" s="403">
        <v>1</v>
      </c>
      <c r="M38" s="404">
        <v>0</v>
      </c>
    </row>
    <row r="39" spans="1:13" s="562" customFormat="1">
      <c r="A39" s="554">
        <v>37</v>
      </c>
      <c r="B39" s="555" t="s">
        <v>86</v>
      </c>
      <c r="C39" s="382" t="s">
        <v>85</v>
      </c>
      <c r="D39" s="382"/>
      <c r="E39" s="129"/>
      <c r="F39" s="404">
        <v>3</v>
      </c>
      <c r="G39" s="404">
        <v>3</v>
      </c>
      <c r="H39" s="381">
        <v>0</v>
      </c>
      <c r="I39" s="381">
        <v>0</v>
      </c>
      <c r="J39" s="381">
        <v>0</v>
      </c>
      <c r="K39" s="381">
        <v>0</v>
      </c>
      <c r="L39" s="403">
        <v>0</v>
      </c>
      <c r="M39" s="404">
        <v>1</v>
      </c>
    </row>
    <row r="40" spans="1:13" s="562" customFormat="1">
      <c r="A40" s="554">
        <v>38</v>
      </c>
      <c r="B40" s="555" t="s">
        <v>87</v>
      </c>
      <c r="C40" s="382" t="s">
        <v>85</v>
      </c>
      <c r="D40" s="382"/>
      <c r="E40" s="129"/>
      <c r="F40" s="404">
        <v>3</v>
      </c>
      <c r="G40" s="404">
        <v>3</v>
      </c>
      <c r="H40" s="381">
        <v>0</v>
      </c>
      <c r="I40" s="381">
        <v>0</v>
      </c>
      <c r="J40" s="381">
        <v>0</v>
      </c>
      <c r="K40" s="381">
        <v>0</v>
      </c>
      <c r="L40" s="403">
        <v>1</v>
      </c>
      <c r="M40" s="404">
        <v>0</v>
      </c>
    </row>
    <row r="41" spans="1:13" s="562" customFormat="1">
      <c r="A41" s="554">
        <v>39</v>
      </c>
      <c r="B41" s="555" t="s">
        <v>88</v>
      </c>
      <c r="C41" s="382" t="s">
        <v>35</v>
      </c>
      <c r="D41" s="382"/>
      <c r="E41" s="129"/>
      <c r="F41" s="404">
        <v>2</v>
      </c>
      <c r="G41" s="404">
        <v>2</v>
      </c>
      <c r="H41" s="381">
        <v>0</v>
      </c>
      <c r="I41" s="381">
        <v>0</v>
      </c>
      <c r="J41" s="381">
        <v>0</v>
      </c>
      <c r="K41" s="381">
        <v>0</v>
      </c>
      <c r="L41" s="403">
        <v>0</v>
      </c>
      <c r="M41" s="404">
        <v>1</v>
      </c>
    </row>
    <row r="42" spans="1:13" s="562" customFormat="1">
      <c r="A42" s="554">
        <v>40</v>
      </c>
      <c r="B42" s="555" t="s">
        <v>89</v>
      </c>
      <c r="C42" s="382" t="s">
        <v>35</v>
      </c>
      <c r="D42" s="382"/>
      <c r="E42" s="129"/>
      <c r="F42" s="404">
        <v>2</v>
      </c>
      <c r="G42" s="404">
        <v>2</v>
      </c>
      <c r="H42" s="381">
        <v>0</v>
      </c>
      <c r="I42" s="381">
        <v>0</v>
      </c>
      <c r="J42" s="381">
        <v>0</v>
      </c>
      <c r="K42" s="381">
        <v>0</v>
      </c>
      <c r="L42" s="403">
        <v>0</v>
      </c>
      <c r="M42" s="404">
        <v>1</v>
      </c>
    </row>
    <row r="43" spans="1:13" s="562" customFormat="1">
      <c r="A43" s="554">
        <v>41</v>
      </c>
      <c r="B43" s="555" t="s">
        <v>90</v>
      </c>
      <c r="C43" s="382" t="s">
        <v>48</v>
      </c>
      <c r="D43" s="382"/>
      <c r="E43" s="129"/>
      <c r="F43" s="404">
        <v>1</v>
      </c>
      <c r="G43" s="404">
        <v>1</v>
      </c>
      <c r="H43" s="381">
        <v>0</v>
      </c>
      <c r="I43" s="381">
        <v>0</v>
      </c>
      <c r="J43" s="381">
        <v>0</v>
      </c>
      <c r="K43" s="381">
        <v>0</v>
      </c>
      <c r="L43" s="403">
        <v>1</v>
      </c>
      <c r="M43" s="404">
        <v>0</v>
      </c>
    </row>
    <row r="44" spans="1:13">
      <c r="A44" s="667"/>
      <c r="B44" s="668"/>
      <c r="C44" s="668"/>
      <c r="D44" s="668"/>
      <c r="E44" s="669"/>
      <c r="F44" s="196">
        <f t="shared" ref="F44:M44" si="0">SUM(F3:F43)</f>
        <v>606</v>
      </c>
      <c r="G44" s="153">
        <f t="shared" si="0"/>
        <v>605</v>
      </c>
      <c r="H44" s="153">
        <f t="shared" si="0"/>
        <v>18</v>
      </c>
      <c r="I44" s="153">
        <f t="shared" si="0"/>
        <v>2</v>
      </c>
      <c r="J44" s="153">
        <f t="shared" si="0"/>
        <v>1</v>
      </c>
      <c r="K44" s="153">
        <f t="shared" si="0"/>
        <v>1</v>
      </c>
      <c r="L44" s="153">
        <f t="shared" si="0"/>
        <v>24</v>
      </c>
      <c r="M44" s="153">
        <f t="shared" si="0"/>
        <v>17</v>
      </c>
    </row>
    <row r="45" spans="1:13">
      <c r="B45" s="147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54"/>
    </row>
    <row r="46" spans="1:13" ht="38.25">
      <c r="A46" s="111"/>
      <c r="B46" s="148"/>
      <c r="C46" s="112" t="s">
        <v>91</v>
      </c>
      <c r="D46" s="113" t="s">
        <v>92</v>
      </c>
      <c r="E46" s="112" t="s">
        <v>93</v>
      </c>
      <c r="F46" s="113" t="s">
        <v>94</v>
      </c>
      <c r="G46" s="113" t="s">
        <v>95</v>
      </c>
      <c r="H46" s="113" t="s">
        <v>96</v>
      </c>
      <c r="I46" s="113" t="s">
        <v>97</v>
      </c>
      <c r="J46" s="113" t="s">
        <v>98</v>
      </c>
      <c r="K46" s="112" t="s">
        <v>99</v>
      </c>
      <c r="L46" s="138" t="s">
        <v>100</v>
      </c>
      <c r="M46" s="112" t="s">
        <v>101</v>
      </c>
    </row>
    <row r="47" spans="1:13">
      <c r="A47" s="111"/>
      <c r="B47" s="114"/>
      <c r="C47" s="115">
        <v>25</v>
      </c>
      <c r="D47" s="115">
        <v>15</v>
      </c>
      <c r="E47" s="115">
        <v>375</v>
      </c>
      <c r="F47" s="116">
        <f>F44</f>
        <v>606</v>
      </c>
      <c r="G47" s="117">
        <f>F47/E47</f>
        <v>1.6160000000000001</v>
      </c>
      <c r="H47" s="118">
        <f>F44/H44</f>
        <v>33.6666666666667</v>
      </c>
      <c r="I47" s="139">
        <f>I44/(L44+M44)</f>
        <v>4.8780487804878099E-2</v>
      </c>
      <c r="J47" s="139">
        <f>J44/I44</f>
        <v>0.5</v>
      </c>
      <c r="K47" s="140">
        <f>K44/(I44)</f>
        <v>0.5</v>
      </c>
      <c r="L47" s="141">
        <f>L44/(L44+M44)</f>
        <v>0.58536585365853699</v>
      </c>
      <c r="M47" s="140">
        <f>M44/(L44+M44)</f>
        <v>0.41463414634146301</v>
      </c>
    </row>
    <row r="48" spans="1:13">
      <c r="B48" s="147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</row>
  </sheetData>
  <mergeCells count="2">
    <mergeCell ref="A1:F1"/>
    <mergeCell ref="A44:E4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7"/>
  <sheetViews>
    <sheetView topLeftCell="A37" workbookViewId="0">
      <selection activeCell="F62" sqref="F62"/>
    </sheetView>
  </sheetViews>
  <sheetFormatPr defaultColWidth="9" defaultRowHeight="15"/>
  <cols>
    <col min="2" max="2" width="43.28515625" customWidth="1"/>
    <col min="3" max="3" width="13.42578125" customWidth="1"/>
    <col min="4" max="4" width="11" customWidth="1"/>
    <col min="5" max="5" width="15" customWidth="1"/>
    <col min="6" max="6" width="11.7109375" customWidth="1"/>
    <col min="7" max="7" width="11" customWidth="1"/>
  </cols>
  <sheetData>
    <row r="1" spans="1:13">
      <c r="A1" s="666" t="s">
        <v>102</v>
      </c>
      <c r="B1" s="666"/>
      <c r="C1" s="666"/>
      <c r="D1" s="666"/>
      <c r="E1" s="666"/>
      <c r="F1" s="666"/>
      <c r="G1" s="1">
        <v>45658</v>
      </c>
      <c r="H1" s="2"/>
      <c r="I1" s="2"/>
      <c r="J1" s="2"/>
      <c r="K1" s="2"/>
      <c r="L1" s="2"/>
      <c r="M1" s="2"/>
    </row>
    <row r="2" spans="1:13" ht="25.5">
      <c r="A2" s="7" t="s">
        <v>1</v>
      </c>
      <c r="B2" s="10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7" t="s">
        <v>7</v>
      </c>
      <c r="H2" s="10" t="s">
        <v>8</v>
      </c>
      <c r="I2" s="10" t="s">
        <v>9</v>
      </c>
      <c r="J2" s="8" t="s">
        <v>10</v>
      </c>
      <c r="K2" s="134" t="s">
        <v>11</v>
      </c>
      <c r="L2" s="135" t="s">
        <v>12</v>
      </c>
      <c r="M2" s="134" t="s">
        <v>13</v>
      </c>
    </row>
    <row r="3" spans="1:13">
      <c r="A3" s="554">
        <v>1</v>
      </c>
      <c r="B3" s="555" t="s">
        <v>22</v>
      </c>
      <c r="C3" s="451" t="s">
        <v>23</v>
      </c>
      <c r="D3" s="556">
        <v>45659</v>
      </c>
      <c r="E3" s="206" t="s">
        <v>57</v>
      </c>
      <c r="F3" s="465">
        <v>1</v>
      </c>
      <c r="G3" s="465">
        <v>1</v>
      </c>
      <c r="H3" s="554">
        <v>1</v>
      </c>
      <c r="I3" s="554">
        <v>0</v>
      </c>
      <c r="J3" s="554">
        <v>0</v>
      </c>
      <c r="K3" s="554">
        <v>0</v>
      </c>
      <c r="L3" s="452">
        <v>1</v>
      </c>
      <c r="M3" s="465">
        <v>0</v>
      </c>
    </row>
    <row r="4" spans="1:13">
      <c r="A4" s="554">
        <v>2</v>
      </c>
      <c r="B4" s="557" t="s">
        <v>24</v>
      </c>
      <c r="C4" s="451" t="s">
        <v>23</v>
      </c>
      <c r="D4" s="558">
        <v>45669</v>
      </c>
      <c r="E4" s="129" t="s">
        <v>36</v>
      </c>
      <c r="F4" s="465">
        <v>12</v>
      </c>
      <c r="G4" s="465">
        <v>12</v>
      </c>
      <c r="H4" s="554">
        <v>1</v>
      </c>
      <c r="I4" s="554">
        <v>0</v>
      </c>
      <c r="J4" s="554">
        <v>0</v>
      </c>
      <c r="K4" s="554">
        <v>0</v>
      </c>
      <c r="L4" s="452">
        <v>1</v>
      </c>
      <c r="M4" s="465">
        <v>0</v>
      </c>
    </row>
    <row r="5" spans="1:13">
      <c r="A5" s="554">
        <v>3</v>
      </c>
      <c r="B5" s="559" t="s">
        <v>25</v>
      </c>
      <c r="C5" s="560" t="s">
        <v>26</v>
      </c>
      <c r="D5" s="561">
        <v>45666</v>
      </c>
      <c r="E5" s="129" t="s">
        <v>36</v>
      </c>
      <c r="F5" s="408">
        <v>9</v>
      </c>
      <c r="G5" s="408">
        <v>9</v>
      </c>
      <c r="H5" s="408">
        <v>1</v>
      </c>
      <c r="I5" s="408">
        <v>0</v>
      </c>
      <c r="J5" s="408">
        <v>0</v>
      </c>
      <c r="K5" s="408">
        <v>0</v>
      </c>
      <c r="L5" s="408">
        <v>1</v>
      </c>
      <c r="M5" s="409">
        <v>0</v>
      </c>
    </row>
    <row r="6" spans="1:13">
      <c r="A6" s="554">
        <v>4</v>
      </c>
      <c r="B6" s="562" t="s">
        <v>27</v>
      </c>
      <c r="C6" s="451" t="s">
        <v>28</v>
      </c>
      <c r="D6" s="451" t="s">
        <v>103</v>
      </c>
      <c r="E6" s="129" t="s">
        <v>36</v>
      </c>
      <c r="F6" s="465">
        <v>16</v>
      </c>
      <c r="G6" s="465">
        <v>16</v>
      </c>
      <c r="H6" s="554">
        <v>1</v>
      </c>
      <c r="I6" s="554">
        <v>0</v>
      </c>
      <c r="J6" s="554">
        <v>0</v>
      </c>
      <c r="K6" s="554">
        <v>0</v>
      </c>
      <c r="L6" s="452">
        <v>1</v>
      </c>
      <c r="M6" s="465">
        <v>0</v>
      </c>
    </row>
    <row r="7" spans="1:13">
      <c r="A7" s="554">
        <v>5</v>
      </c>
      <c r="B7" s="555" t="s">
        <v>29</v>
      </c>
      <c r="C7" s="451" t="s">
        <v>30</v>
      </c>
      <c r="D7" s="451" t="s">
        <v>103</v>
      </c>
      <c r="E7" s="563" t="s">
        <v>21</v>
      </c>
      <c r="F7" s="465">
        <v>16</v>
      </c>
      <c r="G7" s="465">
        <v>16</v>
      </c>
      <c r="H7" s="554">
        <v>1</v>
      </c>
      <c r="I7" s="554">
        <v>0</v>
      </c>
      <c r="J7" s="554">
        <v>0</v>
      </c>
      <c r="K7" s="554">
        <v>0</v>
      </c>
      <c r="L7" s="452">
        <v>0</v>
      </c>
      <c r="M7" s="465">
        <v>1</v>
      </c>
    </row>
    <row r="8" spans="1:13">
      <c r="A8" s="554">
        <v>6</v>
      </c>
      <c r="B8" s="555" t="s">
        <v>31</v>
      </c>
      <c r="C8" s="451" t="s">
        <v>32</v>
      </c>
      <c r="D8" s="558">
        <v>45667</v>
      </c>
      <c r="E8" s="129" t="s">
        <v>36</v>
      </c>
      <c r="F8" s="465">
        <v>10</v>
      </c>
      <c r="G8" s="465">
        <v>10</v>
      </c>
      <c r="H8" s="554">
        <v>1</v>
      </c>
      <c r="I8" s="554">
        <v>0</v>
      </c>
      <c r="J8" s="554">
        <v>0</v>
      </c>
      <c r="K8" s="554">
        <v>0</v>
      </c>
      <c r="L8" s="452">
        <v>1</v>
      </c>
      <c r="M8" s="465">
        <v>0</v>
      </c>
    </row>
    <row r="9" spans="1:13">
      <c r="A9" s="554">
        <v>7</v>
      </c>
      <c r="B9" s="555" t="s">
        <v>39</v>
      </c>
      <c r="C9" s="314" t="s">
        <v>40</v>
      </c>
      <c r="D9" s="556">
        <v>45667</v>
      </c>
      <c r="E9" s="129" t="s">
        <v>36</v>
      </c>
      <c r="F9" s="465">
        <v>10</v>
      </c>
      <c r="G9" s="465">
        <v>10</v>
      </c>
      <c r="H9" s="554">
        <v>1</v>
      </c>
      <c r="I9" s="554">
        <v>0</v>
      </c>
      <c r="J9" s="554">
        <v>0</v>
      </c>
      <c r="K9" s="554">
        <v>0</v>
      </c>
      <c r="L9" s="465">
        <v>0</v>
      </c>
      <c r="M9" s="465">
        <v>1</v>
      </c>
    </row>
    <row r="10" spans="1:13">
      <c r="A10" s="554">
        <v>8</v>
      </c>
      <c r="B10" s="555" t="s">
        <v>44</v>
      </c>
      <c r="C10" s="314" t="s">
        <v>45</v>
      </c>
      <c r="D10" s="314" t="s">
        <v>104</v>
      </c>
      <c r="E10" s="129" t="s">
        <v>36</v>
      </c>
      <c r="F10" s="34">
        <v>17</v>
      </c>
      <c r="G10" s="34">
        <v>17</v>
      </c>
      <c r="H10" s="34">
        <v>1</v>
      </c>
      <c r="I10" s="34">
        <v>0</v>
      </c>
      <c r="J10" s="34">
        <v>0</v>
      </c>
      <c r="K10" s="34">
        <v>0</v>
      </c>
      <c r="L10" s="34">
        <v>1</v>
      </c>
      <c r="M10" s="27">
        <v>0</v>
      </c>
    </row>
    <row r="11" spans="1:13">
      <c r="A11" s="554">
        <v>9</v>
      </c>
      <c r="B11" s="555" t="s">
        <v>49</v>
      </c>
      <c r="C11" s="314" t="s">
        <v>50</v>
      </c>
      <c r="D11" s="556">
        <v>45669</v>
      </c>
      <c r="E11" s="46" t="s">
        <v>17</v>
      </c>
      <c r="F11" s="465">
        <v>12</v>
      </c>
      <c r="G11" s="465">
        <v>12</v>
      </c>
      <c r="H11" s="554">
        <v>1</v>
      </c>
      <c r="I11" s="554">
        <v>1</v>
      </c>
      <c r="J11" s="554">
        <v>1</v>
      </c>
      <c r="K11" s="554">
        <v>0</v>
      </c>
      <c r="L11" s="465">
        <v>0</v>
      </c>
      <c r="M11" s="465">
        <v>1</v>
      </c>
    </row>
    <row r="12" spans="1:13">
      <c r="A12" s="554">
        <v>10</v>
      </c>
      <c r="B12" s="555" t="s">
        <v>58</v>
      </c>
      <c r="C12" s="314" t="s">
        <v>59</v>
      </c>
      <c r="D12" s="556">
        <v>45659</v>
      </c>
      <c r="E12" s="206" t="s">
        <v>57</v>
      </c>
      <c r="F12" s="465">
        <v>1</v>
      </c>
      <c r="G12" s="465">
        <v>1</v>
      </c>
      <c r="H12" s="554">
        <v>1</v>
      </c>
      <c r="I12" s="554">
        <v>0</v>
      </c>
      <c r="J12" s="554">
        <v>0</v>
      </c>
      <c r="K12" s="554">
        <v>0</v>
      </c>
      <c r="L12" s="465">
        <v>1</v>
      </c>
      <c r="M12" s="465">
        <v>0</v>
      </c>
    </row>
    <row r="13" spans="1:13">
      <c r="A13" s="554">
        <v>11</v>
      </c>
      <c r="B13" s="555" t="s">
        <v>62</v>
      </c>
      <c r="C13" s="314" t="s">
        <v>59</v>
      </c>
      <c r="D13" s="291">
        <v>45678</v>
      </c>
      <c r="E13" s="129" t="s">
        <v>36</v>
      </c>
      <c r="F13" s="27">
        <v>21</v>
      </c>
      <c r="G13" s="27">
        <v>21</v>
      </c>
      <c r="H13" s="27">
        <v>1</v>
      </c>
      <c r="I13" s="27">
        <v>0</v>
      </c>
      <c r="J13" s="27">
        <v>0</v>
      </c>
      <c r="K13" s="27">
        <v>0</v>
      </c>
      <c r="L13" s="27">
        <v>0</v>
      </c>
      <c r="M13" s="27">
        <v>1</v>
      </c>
    </row>
    <row r="14" spans="1:13">
      <c r="A14" s="554">
        <v>12</v>
      </c>
      <c r="B14" s="555" t="s">
        <v>64</v>
      </c>
      <c r="C14" s="314" t="s">
        <v>15</v>
      </c>
      <c r="D14" s="314" t="s">
        <v>103</v>
      </c>
      <c r="E14" s="129" t="s">
        <v>36</v>
      </c>
      <c r="F14" s="465">
        <v>16</v>
      </c>
      <c r="G14" s="465">
        <v>16</v>
      </c>
      <c r="H14" s="554">
        <v>1</v>
      </c>
      <c r="I14" s="554">
        <v>0</v>
      </c>
      <c r="J14" s="554">
        <v>0</v>
      </c>
      <c r="K14" s="554">
        <v>0</v>
      </c>
      <c r="L14" s="465">
        <v>0</v>
      </c>
      <c r="M14" s="465">
        <v>1</v>
      </c>
    </row>
    <row r="15" spans="1:13">
      <c r="A15" s="554">
        <v>13</v>
      </c>
      <c r="B15" s="555" t="s">
        <v>70</v>
      </c>
      <c r="C15" s="314" t="s">
        <v>52</v>
      </c>
      <c r="D15" s="314" t="s">
        <v>105</v>
      </c>
      <c r="E15" s="129" t="s">
        <v>36</v>
      </c>
      <c r="F15" s="465">
        <v>2</v>
      </c>
      <c r="G15" s="465">
        <v>2</v>
      </c>
      <c r="H15" s="554">
        <v>1</v>
      </c>
      <c r="I15" s="554">
        <v>0</v>
      </c>
      <c r="J15" s="554">
        <v>0</v>
      </c>
      <c r="K15" s="554">
        <v>0</v>
      </c>
      <c r="L15" s="465">
        <v>1</v>
      </c>
      <c r="M15" s="465">
        <v>0</v>
      </c>
    </row>
    <row r="16" spans="1:13">
      <c r="A16" s="554">
        <v>14</v>
      </c>
      <c r="B16" s="557" t="s">
        <v>71</v>
      </c>
      <c r="C16" s="314" t="s">
        <v>52</v>
      </c>
      <c r="D16" s="564">
        <v>45658</v>
      </c>
      <c r="E16" s="129" t="s">
        <v>36</v>
      </c>
      <c r="F16" s="465">
        <v>1</v>
      </c>
      <c r="G16" s="465">
        <v>1</v>
      </c>
      <c r="H16" s="554">
        <v>1</v>
      </c>
      <c r="I16" s="554">
        <v>0</v>
      </c>
      <c r="J16" s="554">
        <v>0</v>
      </c>
      <c r="K16" s="554">
        <v>0</v>
      </c>
      <c r="L16" s="465">
        <v>0</v>
      </c>
      <c r="M16" s="465">
        <v>1</v>
      </c>
    </row>
    <row r="17" spans="1:13">
      <c r="A17" s="554">
        <v>15</v>
      </c>
      <c r="B17" s="557" t="s">
        <v>72</v>
      </c>
      <c r="C17" s="314" t="s">
        <v>43</v>
      </c>
      <c r="D17" s="314" t="s">
        <v>106</v>
      </c>
      <c r="E17" s="129" t="s">
        <v>36</v>
      </c>
      <c r="F17" s="465">
        <v>4</v>
      </c>
      <c r="G17" s="465">
        <v>4</v>
      </c>
      <c r="H17" s="554">
        <v>1</v>
      </c>
      <c r="I17" s="554">
        <v>0</v>
      </c>
      <c r="J17" s="554">
        <v>0</v>
      </c>
      <c r="K17" s="554">
        <v>0</v>
      </c>
      <c r="L17" s="465">
        <v>1</v>
      </c>
      <c r="M17" s="465">
        <v>0</v>
      </c>
    </row>
    <row r="18" spans="1:13">
      <c r="A18" s="554">
        <v>16</v>
      </c>
      <c r="B18" s="555" t="s">
        <v>82</v>
      </c>
      <c r="C18" s="314" t="s">
        <v>35</v>
      </c>
      <c r="D18" s="314" t="s">
        <v>107</v>
      </c>
      <c r="E18" s="46" t="s">
        <v>17</v>
      </c>
      <c r="F18" s="465">
        <v>6</v>
      </c>
      <c r="G18" s="465">
        <v>6</v>
      </c>
      <c r="H18" s="554">
        <v>1</v>
      </c>
      <c r="I18" s="554">
        <v>1</v>
      </c>
      <c r="J18" s="554">
        <v>1</v>
      </c>
      <c r="K18" s="554">
        <v>0</v>
      </c>
      <c r="L18" s="465">
        <v>1</v>
      </c>
      <c r="M18" s="465">
        <v>0</v>
      </c>
    </row>
    <row r="19" spans="1:13">
      <c r="A19" s="554">
        <v>17</v>
      </c>
      <c r="B19" s="557" t="s">
        <v>83</v>
      </c>
      <c r="C19" s="314" t="s">
        <v>20</v>
      </c>
      <c r="D19" s="556">
        <v>9140</v>
      </c>
      <c r="E19" s="129" t="s">
        <v>36</v>
      </c>
      <c r="F19" s="465">
        <v>8</v>
      </c>
      <c r="G19" s="465">
        <v>8</v>
      </c>
      <c r="H19" s="554">
        <v>1</v>
      </c>
      <c r="I19" s="554">
        <v>0</v>
      </c>
      <c r="J19" s="554">
        <v>0</v>
      </c>
      <c r="K19" s="554">
        <v>0</v>
      </c>
      <c r="L19" s="465">
        <v>0</v>
      </c>
      <c r="M19" s="465">
        <v>1</v>
      </c>
    </row>
    <row r="20" spans="1:13">
      <c r="A20" s="554">
        <v>18</v>
      </c>
      <c r="B20" s="562" t="s">
        <v>108</v>
      </c>
      <c r="C20" s="129" t="s">
        <v>85</v>
      </c>
      <c r="D20" s="129"/>
      <c r="E20" s="129"/>
      <c r="F20" s="404">
        <v>31</v>
      </c>
      <c r="G20" s="404">
        <v>31</v>
      </c>
      <c r="H20" s="381"/>
      <c r="I20" s="381"/>
      <c r="J20" s="381"/>
      <c r="K20" s="381"/>
      <c r="L20" s="404">
        <v>1</v>
      </c>
      <c r="M20" s="404">
        <v>0</v>
      </c>
    </row>
    <row r="21" spans="1:13">
      <c r="A21" s="554">
        <v>19</v>
      </c>
      <c r="B21" s="555" t="s">
        <v>86</v>
      </c>
      <c r="C21" s="314" t="s">
        <v>85</v>
      </c>
      <c r="D21" s="314" t="s">
        <v>109</v>
      </c>
      <c r="E21" s="129" t="s">
        <v>36</v>
      </c>
      <c r="F21" s="465">
        <v>3</v>
      </c>
      <c r="G21" s="465">
        <v>3</v>
      </c>
      <c r="H21" s="554">
        <v>1</v>
      </c>
      <c r="I21" s="554">
        <v>0</v>
      </c>
      <c r="J21" s="554">
        <v>0</v>
      </c>
      <c r="K21" s="554">
        <v>0</v>
      </c>
      <c r="L21" s="465">
        <v>0</v>
      </c>
      <c r="M21" s="465">
        <v>1</v>
      </c>
    </row>
    <row r="22" spans="1:13">
      <c r="A22" s="554">
        <v>20</v>
      </c>
      <c r="B22" s="555" t="s">
        <v>87</v>
      </c>
      <c r="C22" s="314" t="s">
        <v>85</v>
      </c>
      <c r="D22" s="556">
        <v>45667</v>
      </c>
      <c r="E22" s="129" t="s">
        <v>36</v>
      </c>
      <c r="F22" s="465">
        <v>10</v>
      </c>
      <c r="G22" s="465">
        <v>10</v>
      </c>
      <c r="H22" s="554">
        <v>1</v>
      </c>
      <c r="I22" s="554">
        <v>0</v>
      </c>
      <c r="J22" s="554">
        <v>0</v>
      </c>
      <c r="K22" s="554">
        <v>0</v>
      </c>
      <c r="L22" s="465">
        <v>1</v>
      </c>
      <c r="M22" s="465">
        <v>0</v>
      </c>
    </row>
    <row r="23" spans="1:13">
      <c r="A23" s="554">
        <v>21</v>
      </c>
      <c r="B23" s="555" t="s">
        <v>110</v>
      </c>
      <c r="C23" s="451" t="s">
        <v>35</v>
      </c>
      <c r="D23" s="558">
        <v>45666</v>
      </c>
      <c r="E23" s="129" t="s">
        <v>36</v>
      </c>
      <c r="F23" s="465">
        <v>9</v>
      </c>
      <c r="G23" s="465">
        <v>9</v>
      </c>
      <c r="H23" s="554">
        <v>1</v>
      </c>
      <c r="I23" s="554">
        <v>0</v>
      </c>
      <c r="J23" s="554">
        <v>0</v>
      </c>
      <c r="K23" s="554">
        <v>0</v>
      </c>
      <c r="L23" s="452">
        <v>0</v>
      </c>
      <c r="M23" s="465">
        <v>1</v>
      </c>
    </row>
    <row r="24" spans="1:13">
      <c r="A24" s="554">
        <v>22</v>
      </c>
      <c r="B24" s="555" t="s">
        <v>111</v>
      </c>
      <c r="C24" s="451" t="s">
        <v>35</v>
      </c>
      <c r="D24" s="558">
        <v>45666</v>
      </c>
      <c r="E24" s="129" t="s">
        <v>36</v>
      </c>
      <c r="F24" s="465">
        <v>9</v>
      </c>
      <c r="G24" s="465">
        <v>9</v>
      </c>
      <c r="H24" s="554">
        <v>1</v>
      </c>
      <c r="I24" s="554">
        <v>0</v>
      </c>
      <c r="J24" s="554">
        <v>0</v>
      </c>
      <c r="K24" s="554">
        <v>0</v>
      </c>
      <c r="L24" s="452">
        <v>0</v>
      </c>
      <c r="M24" s="465">
        <v>1</v>
      </c>
    </row>
    <row r="25" spans="1:13">
      <c r="A25" s="554">
        <v>23</v>
      </c>
      <c r="B25" s="555" t="s">
        <v>112</v>
      </c>
      <c r="C25" s="451" t="s">
        <v>48</v>
      </c>
      <c r="D25" s="558">
        <v>45668</v>
      </c>
      <c r="E25" s="129" t="s">
        <v>36</v>
      </c>
      <c r="F25" s="465">
        <v>11</v>
      </c>
      <c r="G25" s="465">
        <v>11</v>
      </c>
      <c r="H25" s="554">
        <v>1</v>
      </c>
      <c r="I25" s="554">
        <v>0</v>
      </c>
      <c r="J25" s="554">
        <v>0</v>
      </c>
      <c r="K25" s="554">
        <v>0</v>
      </c>
      <c r="L25" s="452">
        <v>1</v>
      </c>
      <c r="M25" s="465">
        <v>0</v>
      </c>
    </row>
    <row r="26" spans="1:13">
      <c r="A26" s="554">
        <v>24</v>
      </c>
      <c r="B26" s="557" t="s">
        <v>113</v>
      </c>
      <c r="C26" s="314" t="s">
        <v>114</v>
      </c>
      <c r="D26" s="314" t="s">
        <v>103</v>
      </c>
      <c r="E26" s="129" t="s">
        <v>36</v>
      </c>
      <c r="F26" s="465">
        <v>16</v>
      </c>
      <c r="G26" s="465">
        <v>16</v>
      </c>
      <c r="H26" s="554">
        <v>1</v>
      </c>
      <c r="I26" s="554">
        <v>0</v>
      </c>
      <c r="J26" s="554">
        <v>0</v>
      </c>
      <c r="K26" s="554">
        <v>0</v>
      </c>
      <c r="L26" s="465">
        <v>0</v>
      </c>
      <c r="M26" s="465">
        <v>1</v>
      </c>
    </row>
    <row r="27" spans="1:13">
      <c r="A27" s="554">
        <v>25</v>
      </c>
      <c r="B27" s="557" t="s">
        <v>115</v>
      </c>
      <c r="C27" s="129" t="s">
        <v>116</v>
      </c>
      <c r="D27" s="129"/>
      <c r="E27" s="129"/>
      <c r="F27" s="404">
        <v>28</v>
      </c>
      <c r="G27" s="404">
        <v>28</v>
      </c>
      <c r="H27" s="381"/>
      <c r="I27" s="381"/>
      <c r="J27" s="381"/>
      <c r="K27" s="381"/>
      <c r="L27" s="404">
        <v>1</v>
      </c>
      <c r="M27" s="404">
        <v>0</v>
      </c>
    </row>
    <row r="28" spans="1:13">
      <c r="A28" s="554">
        <v>26</v>
      </c>
      <c r="B28" s="559" t="s">
        <v>117</v>
      </c>
      <c r="C28" s="34" t="s">
        <v>118</v>
      </c>
      <c r="D28" s="291">
        <v>45673</v>
      </c>
      <c r="E28" s="129" t="s">
        <v>36</v>
      </c>
      <c r="F28" s="34">
        <v>15</v>
      </c>
      <c r="G28" s="34">
        <v>15</v>
      </c>
      <c r="H28" s="34">
        <v>1</v>
      </c>
      <c r="I28" s="34">
        <v>0</v>
      </c>
      <c r="J28" s="34">
        <v>0</v>
      </c>
      <c r="K28" s="34">
        <v>0</v>
      </c>
      <c r="L28" s="27">
        <v>1</v>
      </c>
      <c r="M28" s="27">
        <v>0</v>
      </c>
    </row>
    <row r="29" spans="1:13">
      <c r="A29" s="554">
        <v>27</v>
      </c>
      <c r="B29" s="559" t="s">
        <v>119</v>
      </c>
      <c r="C29" s="31" t="s">
        <v>120</v>
      </c>
      <c r="D29" s="125"/>
      <c r="E29" s="125"/>
      <c r="F29" s="22">
        <v>27</v>
      </c>
      <c r="G29" s="22">
        <v>27</v>
      </c>
      <c r="H29" s="125"/>
      <c r="I29" s="125"/>
      <c r="J29" s="125"/>
      <c r="K29" s="125"/>
      <c r="L29" s="22">
        <v>0</v>
      </c>
      <c r="M29" s="22">
        <v>1</v>
      </c>
    </row>
    <row r="30" spans="1:13">
      <c r="A30" s="554">
        <v>28</v>
      </c>
      <c r="B30" s="559" t="s">
        <v>121</v>
      </c>
      <c r="C30" s="31" t="s">
        <v>122</v>
      </c>
      <c r="D30" s="125"/>
      <c r="E30" s="125"/>
      <c r="F30" s="22">
        <v>26</v>
      </c>
      <c r="G30" s="22">
        <v>26</v>
      </c>
      <c r="H30" s="125"/>
      <c r="I30" s="125"/>
      <c r="J30" s="125"/>
      <c r="K30" s="125"/>
      <c r="L30" s="22">
        <v>0</v>
      </c>
      <c r="M30" s="22">
        <v>1</v>
      </c>
    </row>
    <row r="31" spans="1:13">
      <c r="A31" s="554">
        <v>29</v>
      </c>
      <c r="B31" s="557" t="s">
        <v>123</v>
      </c>
      <c r="C31" s="314" t="s">
        <v>116</v>
      </c>
      <c r="D31" s="314" t="s">
        <v>124</v>
      </c>
      <c r="E31" s="129" t="s">
        <v>36</v>
      </c>
      <c r="F31" s="465">
        <v>21</v>
      </c>
      <c r="G31" s="465">
        <v>21</v>
      </c>
      <c r="H31" s="554">
        <v>1</v>
      </c>
      <c r="I31" s="554">
        <v>0</v>
      </c>
      <c r="J31" s="554">
        <v>0</v>
      </c>
      <c r="K31" s="554">
        <v>0</v>
      </c>
      <c r="L31" s="465">
        <v>0</v>
      </c>
      <c r="M31" s="465">
        <v>1</v>
      </c>
    </row>
    <row r="32" spans="1:13">
      <c r="A32" s="554">
        <v>30</v>
      </c>
      <c r="B32" s="559" t="s">
        <v>125</v>
      </c>
      <c r="C32" s="362" t="s">
        <v>126</v>
      </c>
      <c r="D32" s="362">
        <v>45674</v>
      </c>
      <c r="E32" s="129" t="s">
        <v>36</v>
      </c>
      <c r="F32" s="409">
        <v>12</v>
      </c>
      <c r="G32" s="409">
        <v>12</v>
      </c>
      <c r="H32" s="409">
        <v>1</v>
      </c>
      <c r="I32" s="409">
        <v>0</v>
      </c>
      <c r="J32" s="409">
        <v>0</v>
      </c>
      <c r="K32" s="409">
        <v>0</v>
      </c>
      <c r="L32" s="409">
        <v>0</v>
      </c>
      <c r="M32" s="409">
        <v>1</v>
      </c>
    </row>
    <row r="33" spans="1:13">
      <c r="A33" s="554">
        <v>31</v>
      </c>
      <c r="B33" s="559" t="s">
        <v>127</v>
      </c>
      <c r="C33" s="55" t="s">
        <v>128</v>
      </c>
      <c r="D33" s="55"/>
      <c r="E33" s="129"/>
      <c r="F33" s="31">
        <v>23</v>
      </c>
      <c r="G33" s="31">
        <v>23</v>
      </c>
      <c r="H33" s="31"/>
      <c r="I33" s="31"/>
      <c r="J33" s="31"/>
      <c r="K33" s="31"/>
      <c r="L33" s="31">
        <v>0</v>
      </c>
      <c r="M33" s="31">
        <v>1</v>
      </c>
    </row>
    <row r="34" spans="1:13">
      <c r="A34" s="554">
        <v>32</v>
      </c>
      <c r="B34" s="559" t="s">
        <v>129</v>
      </c>
      <c r="C34" s="362" t="s">
        <v>128</v>
      </c>
      <c r="D34" s="362">
        <v>45674</v>
      </c>
      <c r="E34" s="129" t="s">
        <v>36</v>
      </c>
      <c r="F34" s="409">
        <v>10</v>
      </c>
      <c r="G34" s="409">
        <v>10</v>
      </c>
      <c r="H34" s="409">
        <v>1</v>
      </c>
      <c r="I34" s="409">
        <v>0</v>
      </c>
      <c r="J34" s="409">
        <v>0</v>
      </c>
      <c r="K34" s="409">
        <v>0</v>
      </c>
      <c r="L34" s="409">
        <v>1</v>
      </c>
      <c r="M34" s="409">
        <v>0</v>
      </c>
    </row>
    <row r="35" spans="1:13">
      <c r="A35" s="554">
        <v>33</v>
      </c>
      <c r="B35" s="557" t="s">
        <v>130</v>
      </c>
      <c r="C35" s="314" t="s">
        <v>131</v>
      </c>
      <c r="D35" s="314" t="s">
        <v>132</v>
      </c>
      <c r="E35" s="129" t="s">
        <v>36</v>
      </c>
      <c r="F35" s="465">
        <v>15</v>
      </c>
      <c r="G35" s="465">
        <v>15</v>
      </c>
      <c r="H35" s="554">
        <v>1</v>
      </c>
      <c r="I35" s="554">
        <v>0</v>
      </c>
      <c r="J35" s="554">
        <v>0</v>
      </c>
      <c r="K35" s="554">
        <v>0</v>
      </c>
      <c r="L35" s="465">
        <v>0</v>
      </c>
      <c r="M35" s="465">
        <v>1</v>
      </c>
    </row>
    <row r="36" spans="1:13">
      <c r="A36" s="554">
        <v>34</v>
      </c>
      <c r="B36" s="559" t="s">
        <v>133</v>
      </c>
      <c r="C36" s="31" t="s">
        <v>131</v>
      </c>
      <c r="D36" s="129"/>
      <c r="E36" s="129"/>
      <c r="F36" s="404">
        <v>22</v>
      </c>
      <c r="G36" s="404">
        <v>22</v>
      </c>
      <c r="H36" s="381"/>
      <c r="I36" s="381"/>
      <c r="J36" s="381"/>
      <c r="K36" s="381"/>
      <c r="L36" s="404">
        <v>1</v>
      </c>
      <c r="M36" s="404">
        <v>0</v>
      </c>
    </row>
    <row r="37" spans="1:13">
      <c r="A37" s="554">
        <v>35</v>
      </c>
      <c r="B37" s="559" t="s">
        <v>134</v>
      </c>
      <c r="C37" s="34" t="s">
        <v>135</v>
      </c>
      <c r="D37" s="314" t="s">
        <v>136</v>
      </c>
      <c r="E37" s="129" t="s">
        <v>36</v>
      </c>
      <c r="F37" s="465">
        <v>9</v>
      </c>
      <c r="G37" s="465">
        <v>9</v>
      </c>
      <c r="H37" s="554">
        <v>1</v>
      </c>
      <c r="I37" s="554">
        <v>0</v>
      </c>
      <c r="J37" s="554">
        <v>0</v>
      </c>
      <c r="K37" s="554">
        <v>0</v>
      </c>
      <c r="L37" s="465">
        <v>1</v>
      </c>
      <c r="M37" s="465">
        <v>0</v>
      </c>
    </row>
    <row r="38" spans="1:13">
      <c r="A38" s="554">
        <v>36</v>
      </c>
      <c r="B38" s="559" t="s">
        <v>137</v>
      </c>
      <c r="C38" s="31" t="s">
        <v>138</v>
      </c>
      <c r="D38" s="129"/>
      <c r="E38" s="129"/>
      <c r="F38" s="404">
        <v>20</v>
      </c>
      <c r="G38" s="404">
        <v>20</v>
      </c>
      <c r="H38" s="381"/>
      <c r="I38" s="381"/>
      <c r="J38" s="381"/>
      <c r="K38" s="381"/>
      <c r="L38" s="404">
        <v>1</v>
      </c>
      <c r="M38" s="404">
        <v>0</v>
      </c>
    </row>
    <row r="39" spans="1:13">
      <c r="A39" s="554">
        <v>37</v>
      </c>
      <c r="B39" s="33" t="s">
        <v>139</v>
      </c>
      <c r="C39" s="34" t="s">
        <v>138</v>
      </c>
      <c r="D39" s="314" t="s">
        <v>140</v>
      </c>
      <c r="E39" s="46" t="s">
        <v>17</v>
      </c>
      <c r="F39" s="465">
        <v>20</v>
      </c>
      <c r="G39" s="465">
        <v>20</v>
      </c>
      <c r="H39" s="554">
        <v>1</v>
      </c>
      <c r="I39" s="554">
        <v>1</v>
      </c>
      <c r="J39" s="554">
        <v>1</v>
      </c>
      <c r="K39" s="554">
        <v>0</v>
      </c>
      <c r="L39" s="465">
        <v>1</v>
      </c>
      <c r="M39" s="465">
        <v>0</v>
      </c>
    </row>
    <row r="40" spans="1:13">
      <c r="A40" s="554">
        <v>38</v>
      </c>
      <c r="B40" s="33" t="s">
        <v>141</v>
      </c>
      <c r="C40" s="409" t="s">
        <v>138</v>
      </c>
      <c r="D40" s="314" t="s">
        <v>142</v>
      </c>
      <c r="E40" s="314" t="s">
        <v>36</v>
      </c>
      <c r="F40" s="465">
        <v>21</v>
      </c>
      <c r="G40" s="465">
        <v>21</v>
      </c>
      <c r="H40" s="554">
        <v>1</v>
      </c>
      <c r="I40" s="554">
        <v>0</v>
      </c>
      <c r="J40" s="554">
        <v>0</v>
      </c>
      <c r="K40" s="554">
        <v>0</v>
      </c>
      <c r="L40" s="465">
        <v>1</v>
      </c>
      <c r="M40" s="465">
        <v>0</v>
      </c>
    </row>
    <row r="41" spans="1:13">
      <c r="A41" s="554">
        <v>39</v>
      </c>
      <c r="B41" s="33" t="s">
        <v>143</v>
      </c>
      <c r="C41" s="31" t="s">
        <v>138</v>
      </c>
      <c r="D41" s="129"/>
      <c r="E41" s="129"/>
      <c r="F41" s="404">
        <v>20</v>
      </c>
      <c r="G41" s="404">
        <v>20</v>
      </c>
      <c r="H41" s="381"/>
      <c r="I41" s="381"/>
      <c r="J41" s="381"/>
      <c r="K41" s="381"/>
      <c r="L41" s="404">
        <v>0</v>
      </c>
      <c r="M41" s="404">
        <v>1</v>
      </c>
    </row>
    <row r="42" spans="1:13">
      <c r="A42" s="554">
        <v>40</v>
      </c>
      <c r="B42" s="33" t="s">
        <v>144</v>
      </c>
      <c r="C42" s="34" t="s">
        <v>145</v>
      </c>
      <c r="D42" s="314" t="s">
        <v>103</v>
      </c>
      <c r="E42" s="206" t="s">
        <v>57</v>
      </c>
      <c r="F42" s="465">
        <v>11</v>
      </c>
      <c r="G42" s="465">
        <v>11</v>
      </c>
      <c r="H42" s="554">
        <v>1</v>
      </c>
      <c r="I42" s="554">
        <v>0</v>
      </c>
      <c r="J42" s="554">
        <v>0</v>
      </c>
      <c r="K42" s="554">
        <v>0</v>
      </c>
      <c r="L42" s="465">
        <v>1</v>
      </c>
      <c r="M42" s="465">
        <v>0</v>
      </c>
    </row>
    <row r="43" spans="1:13">
      <c r="A43" s="554">
        <v>41</v>
      </c>
      <c r="B43" s="33" t="s">
        <v>146</v>
      </c>
      <c r="C43" s="34" t="s">
        <v>147</v>
      </c>
      <c r="D43" s="314" t="s">
        <v>132</v>
      </c>
      <c r="E43" s="129" t="s">
        <v>36</v>
      </c>
      <c r="F43" s="465">
        <v>15</v>
      </c>
      <c r="G43" s="465">
        <v>15</v>
      </c>
      <c r="H43" s="554">
        <v>1</v>
      </c>
      <c r="I43" s="554">
        <v>0</v>
      </c>
      <c r="J43" s="554">
        <v>0</v>
      </c>
      <c r="K43" s="554">
        <v>0</v>
      </c>
      <c r="L43" s="465">
        <v>0</v>
      </c>
      <c r="M43" s="465">
        <v>1</v>
      </c>
    </row>
    <row r="44" spans="1:13">
      <c r="A44" s="554">
        <v>42</v>
      </c>
      <c r="B44" s="557" t="s">
        <v>148</v>
      </c>
      <c r="C44" s="314" t="s">
        <v>149</v>
      </c>
      <c r="D44" s="314" t="s">
        <v>150</v>
      </c>
      <c r="E44" s="129" t="s">
        <v>36</v>
      </c>
      <c r="F44" s="465">
        <v>15</v>
      </c>
      <c r="G44" s="465">
        <v>15</v>
      </c>
      <c r="H44" s="554">
        <v>1</v>
      </c>
      <c r="I44" s="554">
        <v>0</v>
      </c>
      <c r="J44" s="554">
        <v>0</v>
      </c>
      <c r="K44" s="554">
        <v>0</v>
      </c>
      <c r="L44" s="465">
        <v>1</v>
      </c>
      <c r="M44" s="465">
        <v>0</v>
      </c>
    </row>
    <row r="45" spans="1:13">
      <c r="A45" s="554">
        <v>43</v>
      </c>
      <c r="B45" s="557" t="s">
        <v>151</v>
      </c>
      <c r="C45" s="314" t="s">
        <v>152</v>
      </c>
      <c r="D45" s="314" t="s">
        <v>153</v>
      </c>
      <c r="E45" s="46" t="s">
        <v>17</v>
      </c>
      <c r="F45" s="465">
        <v>8</v>
      </c>
      <c r="G45" s="465">
        <v>8</v>
      </c>
      <c r="H45" s="554">
        <v>1</v>
      </c>
      <c r="I45" s="554">
        <v>1</v>
      </c>
      <c r="J45" s="554">
        <v>1</v>
      </c>
      <c r="K45" s="554">
        <v>0</v>
      </c>
      <c r="L45" s="465">
        <v>0</v>
      </c>
      <c r="M45" s="465">
        <v>1</v>
      </c>
    </row>
    <row r="46" spans="1:13">
      <c r="A46" s="554">
        <v>44</v>
      </c>
      <c r="B46" s="557" t="s">
        <v>154</v>
      </c>
      <c r="C46" s="129" t="s">
        <v>155</v>
      </c>
      <c r="D46" s="129"/>
      <c r="E46" s="129"/>
      <c r="F46" s="404">
        <v>15</v>
      </c>
      <c r="G46" s="404">
        <v>15</v>
      </c>
      <c r="H46" s="381"/>
      <c r="I46" s="381"/>
      <c r="J46" s="381"/>
      <c r="K46" s="381"/>
      <c r="L46" s="404">
        <v>1</v>
      </c>
      <c r="M46" s="404">
        <v>0</v>
      </c>
    </row>
    <row r="47" spans="1:13">
      <c r="A47" s="554">
        <v>45</v>
      </c>
      <c r="B47" s="557" t="s">
        <v>156</v>
      </c>
      <c r="C47" s="129" t="s">
        <v>157</v>
      </c>
      <c r="D47" s="129"/>
      <c r="E47" s="129"/>
      <c r="F47" s="404">
        <v>14</v>
      </c>
      <c r="G47" s="404">
        <v>14</v>
      </c>
      <c r="H47" s="381"/>
      <c r="I47" s="381"/>
      <c r="J47" s="381"/>
      <c r="K47" s="381"/>
      <c r="L47" s="404">
        <v>0</v>
      </c>
      <c r="M47" s="404">
        <v>1</v>
      </c>
    </row>
    <row r="48" spans="1:13">
      <c r="A48" s="554">
        <v>46</v>
      </c>
      <c r="B48" s="557" t="s">
        <v>158</v>
      </c>
      <c r="C48" s="314" t="s">
        <v>155</v>
      </c>
      <c r="D48" s="314" t="s">
        <v>132</v>
      </c>
      <c r="E48" s="129" t="s">
        <v>36</v>
      </c>
      <c r="F48" s="465">
        <v>12</v>
      </c>
      <c r="G48" s="465">
        <v>12</v>
      </c>
      <c r="H48" s="554">
        <v>1</v>
      </c>
      <c r="I48" s="554">
        <v>0</v>
      </c>
      <c r="J48" s="554">
        <v>0</v>
      </c>
      <c r="K48" s="554">
        <v>0</v>
      </c>
      <c r="L48" s="465">
        <v>0</v>
      </c>
      <c r="M48" s="465">
        <v>1</v>
      </c>
    </row>
    <row r="49" spans="1:13">
      <c r="A49" s="554">
        <v>47</v>
      </c>
      <c r="B49" s="557" t="s">
        <v>159</v>
      </c>
      <c r="C49" s="21" t="s">
        <v>160</v>
      </c>
      <c r="D49" s="21"/>
      <c r="E49" s="21"/>
      <c r="F49" s="518">
        <v>13</v>
      </c>
      <c r="G49" s="518">
        <v>13</v>
      </c>
      <c r="H49" s="426"/>
      <c r="I49" s="426"/>
      <c r="J49" s="426"/>
      <c r="K49" s="426"/>
      <c r="L49" s="518">
        <v>0</v>
      </c>
      <c r="M49" s="518">
        <v>1</v>
      </c>
    </row>
    <row r="50" spans="1:13">
      <c r="A50" s="554">
        <v>48</v>
      </c>
      <c r="B50" s="557" t="s">
        <v>161</v>
      </c>
      <c r="C50" s="314" t="s">
        <v>162</v>
      </c>
      <c r="D50" s="314" t="s">
        <v>132</v>
      </c>
      <c r="E50" s="129" t="s">
        <v>36</v>
      </c>
      <c r="F50" s="465">
        <v>8</v>
      </c>
      <c r="G50" s="465">
        <v>8</v>
      </c>
      <c r="H50" s="554">
        <v>1</v>
      </c>
      <c r="I50" s="554">
        <v>0</v>
      </c>
      <c r="J50" s="554">
        <v>0</v>
      </c>
      <c r="K50" s="554">
        <v>0</v>
      </c>
      <c r="L50" s="465">
        <v>1</v>
      </c>
      <c r="M50" s="465">
        <v>0</v>
      </c>
    </row>
    <row r="51" spans="1:13">
      <c r="A51" s="554">
        <v>49</v>
      </c>
      <c r="B51" s="557" t="s">
        <v>163</v>
      </c>
      <c r="C51" s="129" t="s">
        <v>162</v>
      </c>
      <c r="D51" s="129"/>
      <c r="E51" s="129"/>
      <c r="F51" s="404">
        <v>11</v>
      </c>
      <c r="G51" s="404">
        <v>11</v>
      </c>
      <c r="H51" s="381"/>
      <c r="I51" s="381"/>
      <c r="J51" s="381"/>
      <c r="K51" s="381"/>
      <c r="L51" s="404">
        <v>1</v>
      </c>
      <c r="M51" s="404">
        <v>0</v>
      </c>
    </row>
    <row r="52" spans="1:13">
      <c r="A52" s="554">
        <v>50</v>
      </c>
      <c r="B52" s="557" t="s">
        <v>164</v>
      </c>
      <c r="C52" s="129" t="s">
        <v>165</v>
      </c>
      <c r="D52" s="129"/>
      <c r="E52" s="129"/>
      <c r="F52" s="404">
        <v>10</v>
      </c>
      <c r="G52" s="404">
        <v>10</v>
      </c>
      <c r="H52" s="381"/>
      <c r="I52" s="381"/>
      <c r="J52" s="381"/>
      <c r="K52" s="381"/>
      <c r="L52" s="404">
        <v>1</v>
      </c>
      <c r="M52" s="404">
        <v>0</v>
      </c>
    </row>
    <row r="53" spans="1:13">
      <c r="A53" s="554">
        <v>51</v>
      </c>
      <c r="B53" s="557" t="s">
        <v>166</v>
      </c>
      <c r="C53" s="314" t="s">
        <v>165</v>
      </c>
      <c r="D53" s="314" t="s">
        <v>140</v>
      </c>
      <c r="E53" s="46" t="s">
        <v>17</v>
      </c>
      <c r="F53" s="465">
        <v>10</v>
      </c>
      <c r="G53" s="465">
        <v>10</v>
      </c>
      <c r="H53" s="554">
        <v>1</v>
      </c>
      <c r="I53" s="554">
        <v>1</v>
      </c>
      <c r="J53" s="554">
        <v>1</v>
      </c>
      <c r="K53" s="554">
        <v>0</v>
      </c>
      <c r="L53" s="465">
        <v>1</v>
      </c>
      <c r="M53" s="465">
        <v>0</v>
      </c>
    </row>
    <row r="54" spans="1:13">
      <c r="A54" s="554">
        <v>52</v>
      </c>
      <c r="B54" s="559" t="s">
        <v>167</v>
      </c>
      <c r="C54" s="55" t="s">
        <v>165</v>
      </c>
      <c r="D54" s="30"/>
      <c r="E54" s="119"/>
      <c r="F54" s="31">
        <v>10</v>
      </c>
      <c r="G54" s="31">
        <v>10</v>
      </c>
      <c r="H54" s="31"/>
      <c r="I54" s="31"/>
      <c r="J54" s="31"/>
      <c r="K54" s="31"/>
      <c r="L54" s="31">
        <v>0</v>
      </c>
      <c r="M54" s="31">
        <v>1</v>
      </c>
    </row>
    <row r="55" spans="1:13">
      <c r="A55" s="565">
        <v>53</v>
      </c>
      <c r="B55" s="566" t="s">
        <v>168</v>
      </c>
      <c r="C55" s="495" t="s">
        <v>169</v>
      </c>
      <c r="D55" s="495"/>
      <c r="E55" s="495"/>
      <c r="F55" s="438">
        <v>7</v>
      </c>
      <c r="G55" s="438">
        <v>7</v>
      </c>
      <c r="H55" s="496"/>
      <c r="I55" s="496"/>
      <c r="J55" s="496"/>
      <c r="K55" s="496"/>
      <c r="L55" s="438">
        <v>1</v>
      </c>
      <c r="M55" s="439">
        <v>0</v>
      </c>
    </row>
    <row r="56" spans="1:13">
      <c r="A56" s="554">
        <v>54</v>
      </c>
      <c r="B56" s="555" t="s">
        <v>170</v>
      </c>
      <c r="C56" s="382" t="s">
        <v>171</v>
      </c>
      <c r="D56" s="382"/>
      <c r="E56" s="382"/>
      <c r="F56" s="403">
        <v>6</v>
      </c>
      <c r="G56" s="403">
        <v>6</v>
      </c>
      <c r="H56" s="440"/>
      <c r="I56" s="440"/>
      <c r="J56" s="440"/>
      <c r="K56" s="440"/>
      <c r="L56" s="403"/>
      <c r="M56" s="404"/>
    </row>
    <row r="57" spans="1:13">
      <c r="A57" s="554">
        <v>55</v>
      </c>
      <c r="B57" s="567" t="s">
        <v>172</v>
      </c>
      <c r="C57" s="382" t="s">
        <v>173</v>
      </c>
      <c r="D57" s="382"/>
      <c r="E57" s="382"/>
      <c r="F57" s="403">
        <v>4</v>
      </c>
      <c r="G57" s="403">
        <v>4</v>
      </c>
      <c r="H57" s="440"/>
      <c r="I57" s="440"/>
      <c r="J57" s="440"/>
      <c r="K57" s="440"/>
      <c r="L57" s="403">
        <v>0</v>
      </c>
      <c r="M57" s="404">
        <v>1</v>
      </c>
    </row>
    <row r="58" spans="1:13">
      <c r="A58" s="554">
        <v>56</v>
      </c>
      <c r="B58" s="339" t="s">
        <v>174</v>
      </c>
      <c r="C58" s="435" t="s">
        <v>175</v>
      </c>
      <c r="D58" s="568"/>
      <c r="E58" s="568"/>
      <c r="F58" s="435">
        <v>3</v>
      </c>
      <c r="G58" s="435">
        <v>3</v>
      </c>
      <c r="H58" s="568"/>
      <c r="I58" s="568"/>
      <c r="J58" s="568"/>
      <c r="K58" s="568"/>
      <c r="L58" s="31">
        <v>0</v>
      </c>
      <c r="M58" s="31">
        <v>1</v>
      </c>
    </row>
    <row r="59" spans="1:13">
      <c r="A59" s="554">
        <v>57</v>
      </c>
      <c r="B59" s="562" t="s">
        <v>176</v>
      </c>
      <c r="C59" s="532" t="s">
        <v>177</v>
      </c>
      <c r="D59" s="569"/>
      <c r="E59" s="569"/>
      <c r="F59" s="532">
        <v>2</v>
      </c>
      <c r="G59" s="532">
        <v>2</v>
      </c>
      <c r="H59" s="569"/>
      <c r="I59" s="569"/>
      <c r="J59" s="569"/>
      <c r="K59" s="569"/>
      <c r="L59" s="532">
        <v>1</v>
      </c>
      <c r="M59" s="442">
        <v>0</v>
      </c>
    </row>
    <row r="60" spans="1:13">
      <c r="A60" s="554">
        <v>58</v>
      </c>
      <c r="B60" s="555" t="s">
        <v>178</v>
      </c>
      <c r="C60" s="382" t="s">
        <v>179</v>
      </c>
      <c r="D60" s="382"/>
      <c r="E60" s="382"/>
      <c r="F60" s="403">
        <v>1</v>
      </c>
      <c r="G60" s="403">
        <v>1</v>
      </c>
      <c r="H60" s="440"/>
      <c r="I60" s="440"/>
      <c r="J60" s="440"/>
      <c r="K60" s="440"/>
      <c r="L60" s="403">
        <v>0</v>
      </c>
      <c r="M60" s="404">
        <v>1</v>
      </c>
    </row>
    <row r="61" spans="1:13">
      <c r="A61" s="554">
        <v>59</v>
      </c>
      <c r="B61" s="555" t="s">
        <v>180</v>
      </c>
      <c r="C61" s="382" t="s">
        <v>181</v>
      </c>
      <c r="D61" s="382"/>
      <c r="E61" s="382"/>
      <c r="F61" s="403">
        <v>5</v>
      </c>
      <c r="G61" s="403">
        <v>5</v>
      </c>
      <c r="H61" s="440"/>
      <c r="I61" s="440"/>
      <c r="J61" s="440"/>
      <c r="K61" s="440"/>
      <c r="L61" s="403"/>
      <c r="M61" s="404"/>
    </row>
    <row r="62" spans="1:13">
      <c r="A62" s="667"/>
      <c r="B62" s="668"/>
      <c r="C62" s="668"/>
      <c r="D62" s="668"/>
      <c r="E62" s="669"/>
      <c r="F62" s="196">
        <f t="shared" ref="F62:M62" si="0">SUM(F3:F61)</f>
        <v>720</v>
      </c>
      <c r="G62" s="153">
        <f t="shared" si="0"/>
        <v>720</v>
      </c>
      <c r="H62" s="153">
        <f t="shared" si="0"/>
        <v>38</v>
      </c>
      <c r="I62" s="153">
        <f t="shared" si="0"/>
        <v>5</v>
      </c>
      <c r="J62" s="153">
        <f t="shared" si="0"/>
        <v>5</v>
      </c>
      <c r="K62" s="153">
        <f t="shared" si="0"/>
        <v>0</v>
      </c>
      <c r="L62" s="153">
        <f t="shared" si="0"/>
        <v>30</v>
      </c>
      <c r="M62" s="153">
        <f t="shared" si="0"/>
        <v>27</v>
      </c>
    </row>
    <row r="63" spans="1:13">
      <c r="A63" s="108"/>
      <c r="B63" s="147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54"/>
    </row>
    <row r="64" spans="1:13" ht="38.25">
      <c r="A64" s="111"/>
      <c r="C64" s="112" t="s">
        <v>91</v>
      </c>
      <c r="D64" s="113" t="s">
        <v>92</v>
      </c>
      <c r="E64" s="112" t="s">
        <v>93</v>
      </c>
      <c r="F64" s="113" t="s">
        <v>94</v>
      </c>
      <c r="G64" s="113" t="s">
        <v>95</v>
      </c>
      <c r="H64" s="113" t="s">
        <v>96</v>
      </c>
      <c r="I64" s="113" t="s">
        <v>97</v>
      </c>
      <c r="J64" s="113" t="s">
        <v>98</v>
      </c>
      <c r="K64" s="112" t="s">
        <v>99</v>
      </c>
      <c r="L64" s="138" t="s">
        <v>100</v>
      </c>
      <c r="M64" s="112" t="s">
        <v>101</v>
      </c>
    </row>
    <row r="65" spans="1:13">
      <c r="A65" s="111"/>
      <c r="C65" s="115">
        <v>25</v>
      </c>
      <c r="D65" s="115">
        <v>31</v>
      </c>
      <c r="E65" s="115">
        <v>775</v>
      </c>
      <c r="F65" s="116">
        <f>F62</f>
        <v>720</v>
      </c>
      <c r="G65" s="117">
        <f>F65/E65</f>
        <v>0.92903225806451595</v>
      </c>
      <c r="H65" s="118">
        <f>F62/H62</f>
        <v>18.947368421052602</v>
      </c>
      <c r="I65" s="139">
        <f>I62/(L62+M62)</f>
        <v>8.7719298245614002E-2</v>
      </c>
      <c r="J65" s="139">
        <f>J62/I62</f>
        <v>1</v>
      </c>
      <c r="K65" s="140">
        <f>K62/(I62)</f>
        <v>0</v>
      </c>
      <c r="L65" s="141">
        <f>L62/(L62+M62)</f>
        <v>0.52631578947368396</v>
      </c>
      <c r="M65" s="140">
        <f>M62/(L62+M62)</f>
        <v>0.47368421052631599</v>
      </c>
    </row>
    <row r="66" spans="1:13">
      <c r="A66" s="108"/>
      <c r="B66" s="147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</row>
    <row r="67" spans="1:13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</row>
  </sheetData>
  <mergeCells count="2">
    <mergeCell ref="A1:F1"/>
    <mergeCell ref="A62:E62"/>
  </mergeCells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6"/>
  <sheetViews>
    <sheetView topLeftCell="A19" workbookViewId="0">
      <selection activeCell="C24" sqref="C24:C52"/>
    </sheetView>
  </sheetViews>
  <sheetFormatPr defaultColWidth="9" defaultRowHeight="15"/>
  <cols>
    <col min="2" max="2" width="43.85546875" customWidth="1"/>
    <col min="3" max="3" width="12" customWidth="1"/>
    <col min="4" max="4" width="11.5703125" customWidth="1"/>
    <col min="5" max="5" width="16.140625" customWidth="1"/>
    <col min="7" max="7" width="9.28515625" customWidth="1"/>
    <col min="9" max="9" width="9.7109375" customWidth="1"/>
    <col min="10" max="11" width="10.5703125" customWidth="1"/>
  </cols>
  <sheetData>
    <row r="1" spans="1:13">
      <c r="A1" s="666" t="s">
        <v>182</v>
      </c>
      <c r="B1" s="666"/>
      <c r="C1" s="666"/>
      <c r="D1" s="666"/>
      <c r="E1" s="666"/>
      <c r="F1" s="666"/>
      <c r="G1" s="1">
        <v>45689</v>
      </c>
      <c r="H1" s="2"/>
      <c r="I1" s="2"/>
      <c r="J1" s="2"/>
      <c r="K1" s="2"/>
      <c r="L1" s="2"/>
      <c r="M1" s="2"/>
    </row>
    <row r="2" spans="1:13" ht="25.5">
      <c r="A2" s="7" t="s">
        <v>1</v>
      </c>
      <c r="B2" s="10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7" t="s">
        <v>7</v>
      </c>
      <c r="H2" s="10" t="s">
        <v>8</v>
      </c>
      <c r="I2" s="10" t="s">
        <v>9</v>
      </c>
      <c r="J2" s="8" t="s">
        <v>10</v>
      </c>
      <c r="K2" s="134" t="s">
        <v>11</v>
      </c>
      <c r="L2" s="135" t="s">
        <v>12</v>
      </c>
      <c r="M2" s="134" t="s">
        <v>13</v>
      </c>
    </row>
    <row r="3" spans="1:13">
      <c r="A3" s="381">
        <v>1</v>
      </c>
      <c r="B3" s="511" t="s">
        <v>108</v>
      </c>
      <c r="C3" s="129" t="s">
        <v>183</v>
      </c>
      <c r="D3" s="129" t="s">
        <v>184</v>
      </c>
      <c r="E3" s="129" t="s">
        <v>36</v>
      </c>
      <c r="F3" s="404">
        <v>27</v>
      </c>
      <c r="G3" s="404">
        <v>27</v>
      </c>
      <c r="H3" s="381">
        <v>1</v>
      </c>
      <c r="I3" s="381">
        <v>0</v>
      </c>
      <c r="J3" s="381">
        <v>0</v>
      </c>
      <c r="K3" s="381">
        <v>0</v>
      </c>
      <c r="L3" s="404">
        <v>1</v>
      </c>
      <c r="M3" s="404">
        <v>0</v>
      </c>
    </row>
    <row r="4" spans="1:13">
      <c r="A4" s="381">
        <v>2</v>
      </c>
      <c r="B4" s="512" t="s">
        <v>115</v>
      </c>
      <c r="C4" s="129" t="s">
        <v>185</v>
      </c>
      <c r="D4" s="129" t="s">
        <v>186</v>
      </c>
      <c r="E4" s="129" t="s">
        <v>36</v>
      </c>
      <c r="F4" s="404">
        <v>20</v>
      </c>
      <c r="G4" s="404">
        <v>20</v>
      </c>
      <c r="H4" s="381">
        <v>1</v>
      </c>
      <c r="I4" s="381">
        <v>0</v>
      </c>
      <c r="J4" s="381">
        <v>0</v>
      </c>
      <c r="K4" s="381">
        <v>0</v>
      </c>
      <c r="L4" s="404">
        <v>1</v>
      </c>
      <c r="M4" s="404">
        <v>0</v>
      </c>
    </row>
    <row r="5" spans="1:13">
      <c r="A5" s="513">
        <v>3</v>
      </c>
      <c r="B5" s="514" t="s">
        <v>119</v>
      </c>
      <c r="C5" s="515" t="s">
        <v>187</v>
      </c>
      <c r="D5" s="242"/>
      <c r="E5" s="233"/>
      <c r="F5" s="233">
        <v>28</v>
      </c>
      <c r="G5" s="233">
        <v>28</v>
      </c>
      <c r="H5" s="233">
        <v>0</v>
      </c>
      <c r="I5" s="233">
        <v>0</v>
      </c>
      <c r="J5" s="233">
        <v>0</v>
      </c>
      <c r="K5" s="233">
        <v>0</v>
      </c>
      <c r="L5" s="233">
        <v>0</v>
      </c>
      <c r="M5" s="233">
        <v>1</v>
      </c>
    </row>
    <row r="6" spans="1:13">
      <c r="A6" s="381">
        <v>4</v>
      </c>
      <c r="B6" s="149" t="s">
        <v>121</v>
      </c>
      <c r="C6" s="31" t="s">
        <v>188</v>
      </c>
      <c r="D6" s="20">
        <v>45711</v>
      </c>
      <c r="E6" s="129" t="s">
        <v>36</v>
      </c>
      <c r="F6" s="22">
        <v>23</v>
      </c>
      <c r="G6" s="22">
        <v>23</v>
      </c>
      <c r="H6" s="22">
        <v>1</v>
      </c>
      <c r="I6" s="22">
        <v>0</v>
      </c>
      <c r="J6" s="22">
        <v>0</v>
      </c>
      <c r="K6" s="22">
        <v>0</v>
      </c>
      <c r="L6" s="22">
        <v>0</v>
      </c>
      <c r="M6" s="22">
        <v>1</v>
      </c>
    </row>
    <row r="7" spans="1:13">
      <c r="A7" s="381">
        <v>5</v>
      </c>
      <c r="B7" s="149" t="s">
        <v>127</v>
      </c>
      <c r="C7" s="55" t="s">
        <v>189</v>
      </c>
      <c r="D7" s="55">
        <v>45694</v>
      </c>
      <c r="E7" s="129" t="s">
        <v>36</v>
      </c>
      <c r="F7" s="31">
        <v>6</v>
      </c>
      <c r="G7" s="31">
        <v>6</v>
      </c>
      <c r="H7" s="31">
        <v>1</v>
      </c>
      <c r="I7" s="31">
        <v>0</v>
      </c>
      <c r="J7" s="31">
        <v>0</v>
      </c>
      <c r="K7" s="31">
        <v>0</v>
      </c>
      <c r="L7" s="31">
        <v>0</v>
      </c>
      <c r="M7" s="31">
        <v>1</v>
      </c>
    </row>
    <row r="8" spans="1:13">
      <c r="A8" s="381">
        <v>6</v>
      </c>
      <c r="B8" s="149" t="s">
        <v>133</v>
      </c>
      <c r="C8" s="31" t="s">
        <v>190</v>
      </c>
      <c r="D8" s="129" t="s">
        <v>191</v>
      </c>
      <c r="E8" s="129" t="s">
        <v>36</v>
      </c>
      <c r="F8" s="404">
        <v>17</v>
      </c>
      <c r="G8" s="404">
        <v>17</v>
      </c>
      <c r="H8" s="381">
        <v>1</v>
      </c>
      <c r="I8" s="381">
        <v>0</v>
      </c>
      <c r="J8" s="381">
        <v>0</v>
      </c>
      <c r="K8" s="381">
        <v>0</v>
      </c>
      <c r="L8" s="404">
        <v>1</v>
      </c>
      <c r="M8" s="404">
        <v>0</v>
      </c>
    </row>
    <row r="9" spans="1:13">
      <c r="A9" s="513">
        <v>7</v>
      </c>
      <c r="B9" s="514" t="s">
        <v>137</v>
      </c>
      <c r="C9" s="515" t="s">
        <v>192</v>
      </c>
      <c r="D9" s="516"/>
      <c r="E9" s="516"/>
      <c r="F9" s="517">
        <v>28</v>
      </c>
      <c r="G9" s="517">
        <v>28</v>
      </c>
      <c r="H9" s="513">
        <v>0</v>
      </c>
      <c r="I9" s="513">
        <v>0</v>
      </c>
      <c r="J9" s="513">
        <v>0</v>
      </c>
      <c r="K9" s="513">
        <v>0</v>
      </c>
      <c r="L9" s="517">
        <v>1</v>
      </c>
      <c r="M9" s="517">
        <v>0</v>
      </c>
    </row>
    <row r="10" spans="1:13">
      <c r="A10" s="381">
        <v>8</v>
      </c>
      <c r="B10" s="149" t="s">
        <v>143</v>
      </c>
      <c r="C10" s="31" t="s">
        <v>192</v>
      </c>
      <c r="D10" s="129" t="s">
        <v>193</v>
      </c>
      <c r="E10" s="129" t="s">
        <v>36</v>
      </c>
      <c r="F10" s="404">
        <v>10</v>
      </c>
      <c r="G10" s="404">
        <v>10</v>
      </c>
      <c r="H10" s="381">
        <v>1</v>
      </c>
      <c r="I10" s="381">
        <v>0</v>
      </c>
      <c r="J10" s="381">
        <v>0</v>
      </c>
      <c r="K10" s="381">
        <v>0</v>
      </c>
      <c r="L10" s="404">
        <v>0</v>
      </c>
      <c r="M10" s="404">
        <v>1</v>
      </c>
    </row>
    <row r="11" spans="1:13">
      <c r="A11" s="381">
        <v>9</v>
      </c>
      <c r="B11" s="512" t="s">
        <v>154</v>
      </c>
      <c r="C11" s="129" t="s">
        <v>194</v>
      </c>
      <c r="D11" s="129" t="s">
        <v>195</v>
      </c>
      <c r="E11" s="129" t="s">
        <v>36</v>
      </c>
      <c r="F11" s="404">
        <v>13</v>
      </c>
      <c r="G11" s="404">
        <v>13</v>
      </c>
      <c r="H11" s="381">
        <v>1</v>
      </c>
      <c r="I11" s="381">
        <v>0</v>
      </c>
      <c r="J11" s="381">
        <v>0</v>
      </c>
      <c r="K11" s="381">
        <v>0</v>
      </c>
      <c r="L11" s="404">
        <v>1</v>
      </c>
      <c r="M11" s="404">
        <v>0</v>
      </c>
    </row>
    <row r="12" spans="1:13">
      <c r="A12" s="381">
        <v>10</v>
      </c>
      <c r="B12" s="512" t="s">
        <v>156</v>
      </c>
      <c r="C12" s="129" t="s">
        <v>196</v>
      </c>
      <c r="D12" s="129" t="s">
        <v>197</v>
      </c>
      <c r="E12" s="129" t="s">
        <v>36</v>
      </c>
      <c r="F12" s="404">
        <v>5</v>
      </c>
      <c r="G12" s="404">
        <v>5</v>
      </c>
      <c r="H12" s="381">
        <v>1</v>
      </c>
      <c r="I12" s="381">
        <v>0</v>
      </c>
      <c r="J12" s="381">
        <v>0</v>
      </c>
      <c r="K12" s="381">
        <v>0</v>
      </c>
      <c r="L12" s="404">
        <v>0</v>
      </c>
      <c r="M12" s="404">
        <v>1</v>
      </c>
    </row>
    <row r="13" spans="1:13">
      <c r="A13" s="381">
        <v>11</v>
      </c>
      <c r="B13" s="512" t="s">
        <v>159</v>
      </c>
      <c r="C13" s="21" t="s">
        <v>198</v>
      </c>
      <c r="D13" s="21" t="s">
        <v>199</v>
      </c>
      <c r="E13" s="129" t="s">
        <v>36</v>
      </c>
      <c r="F13" s="518">
        <v>4</v>
      </c>
      <c r="G13" s="518">
        <v>4</v>
      </c>
      <c r="H13" s="426">
        <v>1</v>
      </c>
      <c r="I13" s="426">
        <v>0</v>
      </c>
      <c r="J13" s="426">
        <v>0</v>
      </c>
      <c r="K13" s="426">
        <v>0</v>
      </c>
      <c r="L13" s="518">
        <v>0</v>
      </c>
      <c r="M13" s="518">
        <v>1</v>
      </c>
    </row>
    <row r="14" spans="1:13">
      <c r="A14" s="381">
        <v>12</v>
      </c>
      <c r="B14" s="512" t="s">
        <v>163</v>
      </c>
      <c r="C14" s="129" t="s">
        <v>200</v>
      </c>
      <c r="D14" s="129" t="s">
        <v>201</v>
      </c>
      <c r="E14" s="129" t="s">
        <v>36</v>
      </c>
      <c r="F14" s="404">
        <v>11</v>
      </c>
      <c r="G14" s="404">
        <v>11</v>
      </c>
      <c r="H14" s="381">
        <v>1</v>
      </c>
      <c r="I14" s="381">
        <v>0</v>
      </c>
      <c r="J14" s="381">
        <v>0</v>
      </c>
      <c r="K14" s="381">
        <v>0</v>
      </c>
      <c r="L14" s="404">
        <v>1</v>
      </c>
      <c r="M14" s="404">
        <v>0</v>
      </c>
    </row>
    <row r="15" spans="1:13">
      <c r="A15" s="381">
        <v>13</v>
      </c>
      <c r="B15" s="512" t="s">
        <v>164</v>
      </c>
      <c r="C15" s="129" t="s">
        <v>202</v>
      </c>
      <c r="D15" s="129" t="s">
        <v>191</v>
      </c>
      <c r="E15" s="129" t="s">
        <v>36</v>
      </c>
      <c r="F15" s="404">
        <v>17</v>
      </c>
      <c r="G15" s="404">
        <v>17</v>
      </c>
      <c r="H15" s="381">
        <v>1</v>
      </c>
      <c r="I15" s="381">
        <v>0</v>
      </c>
      <c r="J15" s="381">
        <v>0</v>
      </c>
      <c r="K15" s="381">
        <v>0</v>
      </c>
      <c r="L15" s="404">
        <v>1</v>
      </c>
      <c r="M15" s="404">
        <v>0</v>
      </c>
    </row>
    <row r="16" spans="1:13">
      <c r="A16" s="381">
        <v>14</v>
      </c>
      <c r="B16" s="149" t="s">
        <v>167</v>
      </c>
      <c r="C16" s="55" t="s">
        <v>202</v>
      </c>
      <c r="D16" s="30">
        <v>45702</v>
      </c>
      <c r="E16" s="129" t="s">
        <v>36</v>
      </c>
      <c r="F16" s="31">
        <v>14</v>
      </c>
      <c r="G16" s="31">
        <v>14</v>
      </c>
      <c r="H16" s="31">
        <v>1</v>
      </c>
      <c r="I16" s="31">
        <v>0</v>
      </c>
      <c r="J16" s="31">
        <v>0</v>
      </c>
      <c r="K16" s="31">
        <v>0</v>
      </c>
      <c r="L16" s="31">
        <v>0</v>
      </c>
      <c r="M16" s="31">
        <v>1</v>
      </c>
    </row>
    <row r="17" spans="1:13">
      <c r="A17" s="519">
        <v>15</v>
      </c>
      <c r="B17" s="520" t="s">
        <v>168</v>
      </c>
      <c r="C17" s="521" t="s">
        <v>203</v>
      </c>
      <c r="D17" s="521"/>
      <c r="E17" s="521"/>
      <c r="F17" s="522">
        <v>28</v>
      </c>
      <c r="G17" s="522">
        <v>28</v>
      </c>
      <c r="H17" s="523"/>
      <c r="I17" s="523"/>
      <c r="J17" s="523"/>
      <c r="K17" s="523"/>
      <c r="L17" s="522">
        <v>1</v>
      </c>
      <c r="M17" s="550">
        <v>0</v>
      </c>
    </row>
    <row r="18" spans="1:13">
      <c r="A18" s="524">
        <v>16</v>
      </c>
      <c r="B18" s="525" t="s">
        <v>170</v>
      </c>
      <c r="C18" s="526" t="s">
        <v>204</v>
      </c>
      <c r="D18" s="526"/>
      <c r="E18" s="526"/>
      <c r="F18" s="527">
        <v>28</v>
      </c>
      <c r="G18" s="527">
        <v>28</v>
      </c>
      <c r="H18" s="528"/>
      <c r="I18" s="528"/>
      <c r="J18" s="528"/>
      <c r="K18" s="528"/>
      <c r="L18" s="527">
        <v>0</v>
      </c>
      <c r="M18" s="551">
        <v>1</v>
      </c>
    </row>
    <row r="19" spans="1:13">
      <c r="A19" s="524">
        <v>17</v>
      </c>
      <c r="B19" s="529" t="s">
        <v>172</v>
      </c>
      <c r="C19" s="526" t="s">
        <v>205</v>
      </c>
      <c r="D19" s="526"/>
      <c r="E19" s="526"/>
      <c r="F19" s="527">
        <v>28</v>
      </c>
      <c r="G19" s="527">
        <v>28</v>
      </c>
      <c r="H19" s="528"/>
      <c r="I19" s="528"/>
      <c r="J19" s="528"/>
      <c r="K19" s="528"/>
      <c r="L19" s="527">
        <v>0</v>
      </c>
      <c r="M19" s="551">
        <v>1</v>
      </c>
    </row>
    <row r="20" spans="1:13">
      <c r="A20" s="381">
        <v>18</v>
      </c>
      <c r="B20" s="530" t="s">
        <v>174</v>
      </c>
      <c r="C20" s="435" t="s">
        <v>206</v>
      </c>
      <c r="D20" s="434">
        <v>45694</v>
      </c>
      <c r="E20" s="129" t="s">
        <v>36</v>
      </c>
      <c r="F20" s="435">
        <v>6</v>
      </c>
      <c r="G20" s="435">
        <v>6</v>
      </c>
      <c r="H20" s="435">
        <v>1</v>
      </c>
      <c r="I20" s="435">
        <v>0</v>
      </c>
      <c r="J20" s="435">
        <v>0</v>
      </c>
      <c r="K20" s="435">
        <v>0</v>
      </c>
      <c r="L20" s="31">
        <v>0</v>
      </c>
      <c r="M20" s="31">
        <v>1</v>
      </c>
    </row>
    <row r="21" spans="1:13">
      <c r="A21" s="381">
        <v>19</v>
      </c>
      <c r="B21" s="531" t="s">
        <v>207</v>
      </c>
      <c r="C21" s="532" t="s">
        <v>208</v>
      </c>
      <c r="D21" s="533">
        <v>45710</v>
      </c>
      <c r="E21" s="129" t="s">
        <v>36</v>
      </c>
      <c r="F21" s="532">
        <v>22</v>
      </c>
      <c r="G21" s="532">
        <v>22</v>
      </c>
      <c r="H21" s="532">
        <v>1</v>
      </c>
      <c r="I21" s="532">
        <v>0</v>
      </c>
      <c r="J21" s="532">
        <v>0</v>
      </c>
      <c r="K21" s="532">
        <v>0</v>
      </c>
      <c r="L21" s="532">
        <v>1</v>
      </c>
      <c r="M21" s="442">
        <v>0</v>
      </c>
    </row>
    <row r="22" spans="1:13">
      <c r="A22" s="381">
        <v>20</v>
      </c>
      <c r="B22" s="534" t="s">
        <v>209</v>
      </c>
      <c r="C22" s="382" t="s">
        <v>210</v>
      </c>
      <c r="D22" s="382" t="s">
        <v>193</v>
      </c>
      <c r="E22" s="129" t="s">
        <v>36</v>
      </c>
      <c r="F22" s="403">
        <v>10</v>
      </c>
      <c r="G22" s="403">
        <v>10</v>
      </c>
      <c r="H22" s="440">
        <v>1</v>
      </c>
      <c r="I22" s="440">
        <v>0</v>
      </c>
      <c r="J22" s="440">
        <v>0</v>
      </c>
      <c r="K22" s="440">
        <v>0</v>
      </c>
      <c r="L22" s="403">
        <v>0</v>
      </c>
      <c r="M22" s="404">
        <v>1</v>
      </c>
    </row>
    <row r="23" spans="1:13">
      <c r="A23" s="381">
        <v>21</v>
      </c>
      <c r="B23" s="534" t="s">
        <v>180</v>
      </c>
      <c r="C23" s="382" t="s">
        <v>211</v>
      </c>
      <c r="D23" s="382" t="s">
        <v>212</v>
      </c>
      <c r="E23" s="129" t="s">
        <v>36</v>
      </c>
      <c r="F23" s="403">
        <v>3</v>
      </c>
      <c r="G23" s="403">
        <v>3</v>
      </c>
      <c r="H23" s="440">
        <v>1</v>
      </c>
      <c r="I23" s="440">
        <v>0</v>
      </c>
      <c r="J23" s="440">
        <v>0</v>
      </c>
      <c r="K23" s="440">
        <v>0</v>
      </c>
      <c r="L23" s="403">
        <v>1</v>
      </c>
      <c r="M23" s="404">
        <v>0</v>
      </c>
    </row>
    <row r="24" spans="1:13">
      <c r="A24" s="524">
        <v>22</v>
      </c>
      <c r="B24" s="525" t="s">
        <v>213</v>
      </c>
      <c r="C24" s="526" t="s">
        <v>214</v>
      </c>
      <c r="D24" s="526"/>
      <c r="E24" s="526"/>
      <c r="F24" s="527">
        <v>27</v>
      </c>
      <c r="G24" s="527">
        <v>27</v>
      </c>
      <c r="H24" s="528"/>
      <c r="I24" s="528"/>
      <c r="J24" s="528"/>
      <c r="K24" s="528"/>
      <c r="L24" s="527">
        <v>1</v>
      </c>
      <c r="M24" s="551">
        <v>0</v>
      </c>
    </row>
    <row r="25" spans="1:13">
      <c r="A25" s="524">
        <v>23</v>
      </c>
      <c r="B25" s="525" t="s">
        <v>215</v>
      </c>
      <c r="C25" s="526" t="s">
        <v>216</v>
      </c>
      <c r="D25" s="526"/>
      <c r="E25" s="526"/>
      <c r="F25" s="527">
        <v>26</v>
      </c>
      <c r="G25" s="527">
        <v>26</v>
      </c>
      <c r="H25" s="528"/>
      <c r="I25" s="528"/>
      <c r="J25" s="528"/>
      <c r="K25" s="528"/>
      <c r="L25" s="527">
        <v>0</v>
      </c>
      <c r="M25" s="551">
        <v>1</v>
      </c>
    </row>
    <row r="26" spans="1:13">
      <c r="A26" s="381">
        <v>24</v>
      </c>
      <c r="B26" s="535" t="s">
        <v>217</v>
      </c>
      <c r="C26" s="382" t="s">
        <v>216</v>
      </c>
      <c r="D26" s="382" t="s">
        <v>218</v>
      </c>
      <c r="E26" s="129" t="s">
        <v>36</v>
      </c>
      <c r="F26" s="403">
        <v>10</v>
      </c>
      <c r="G26" s="403">
        <v>10</v>
      </c>
      <c r="H26" s="440">
        <v>1</v>
      </c>
      <c r="I26" s="440">
        <v>0</v>
      </c>
      <c r="J26" s="440">
        <v>0</v>
      </c>
      <c r="K26" s="440">
        <v>0</v>
      </c>
      <c r="L26" s="403">
        <v>1</v>
      </c>
      <c r="M26" s="404">
        <v>0</v>
      </c>
    </row>
    <row r="27" spans="1:13">
      <c r="A27" s="381">
        <v>25</v>
      </c>
      <c r="B27" s="530" t="s">
        <v>219</v>
      </c>
      <c r="C27" s="434">
        <v>45691</v>
      </c>
      <c r="D27" s="434">
        <v>45712</v>
      </c>
      <c r="E27" s="129" t="s">
        <v>36</v>
      </c>
      <c r="F27" s="435">
        <v>22</v>
      </c>
      <c r="G27" s="435">
        <v>22</v>
      </c>
      <c r="H27" s="435">
        <v>1</v>
      </c>
      <c r="I27" s="435">
        <v>0</v>
      </c>
      <c r="J27" s="435">
        <v>0</v>
      </c>
      <c r="K27" s="435">
        <v>0</v>
      </c>
      <c r="L27" s="435">
        <v>1</v>
      </c>
      <c r="M27" s="31">
        <v>0</v>
      </c>
    </row>
    <row r="28" spans="1:13">
      <c r="A28" s="472">
        <v>26</v>
      </c>
      <c r="B28" s="506" t="s">
        <v>220</v>
      </c>
      <c r="C28" s="457">
        <v>45695</v>
      </c>
      <c r="D28" s="457">
        <v>45705</v>
      </c>
      <c r="E28" s="46" t="s">
        <v>17</v>
      </c>
      <c r="F28" s="297">
        <v>11</v>
      </c>
      <c r="G28" s="297">
        <v>11</v>
      </c>
      <c r="H28" s="297">
        <v>1</v>
      </c>
      <c r="I28" s="297">
        <v>1</v>
      </c>
      <c r="J28" s="297">
        <v>1</v>
      </c>
      <c r="K28" s="297">
        <v>0</v>
      </c>
      <c r="L28" s="297">
        <v>0</v>
      </c>
      <c r="M28" s="47">
        <v>1</v>
      </c>
    </row>
    <row r="29" spans="1:13">
      <c r="A29" s="536">
        <v>27</v>
      </c>
      <c r="B29" s="537" t="s">
        <v>221</v>
      </c>
      <c r="C29" s="431">
        <v>45697</v>
      </c>
      <c r="D29" s="431">
        <v>45714</v>
      </c>
      <c r="E29" s="206" t="s">
        <v>57</v>
      </c>
      <c r="F29" s="432">
        <v>18</v>
      </c>
      <c r="G29" s="432">
        <v>17</v>
      </c>
      <c r="H29" s="432">
        <v>1</v>
      </c>
      <c r="I29" s="432">
        <v>0</v>
      </c>
      <c r="J29" s="432">
        <v>0</v>
      </c>
      <c r="K29" s="432">
        <v>0</v>
      </c>
      <c r="L29" s="432">
        <v>0</v>
      </c>
      <c r="M29" s="53">
        <v>1</v>
      </c>
    </row>
    <row r="30" spans="1:13">
      <c r="A30" s="381">
        <v>28</v>
      </c>
      <c r="B30" s="493" t="s">
        <v>222</v>
      </c>
      <c r="C30" s="538">
        <v>45698</v>
      </c>
      <c r="D30" s="538">
        <v>45712</v>
      </c>
      <c r="E30" s="129" t="s">
        <v>36</v>
      </c>
      <c r="F30" s="441">
        <v>15</v>
      </c>
      <c r="G30" s="441">
        <v>15</v>
      </c>
      <c r="H30" s="441">
        <v>1</v>
      </c>
      <c r="I30" s="441">
        <v>0</v>
      </c>
      <c r="J30" s="441">
        <v>0</v>
      </c>
      <c r="K30" s="441">
        <v>0</v>
      </c>
      <c r="L30" s="441">
        <v>1</v>
      </c>
      <c r="M30" s="442">
        <v>0</v>
      </c>
    </row>
    <row r="31" spans="1:13">
      <c r="A31" s="524">
        <v>29</v>
      </c>
      <c r="B31" s="539" t="s">
        <v>223</v>
      </c>
      <c r="C31" s="540">
        <v>45699</v>
      </c>
      <c r="D31" s="541"/>
      <c r="E31" s="541"/>
      <c r="F31" s="542">
        <v>18</v>
      </c>
      <c r="G31" s="542">
        <v>18</v>
      </c>
      <c r="H31" s="542"/>
      <c r="I31" s="542"/>
      <c r="J31" s="542"/>
      <c r="K31" s="542"/>
      <c r="L31" s="542">
        <v>0</v>
      </c>
      <c r="M31" s="552">
        <v>1</v>
      </c>
    </row>
    <row r="32" spans="1:13">
      <c r="A32" s="381">
        <v>30</v>
      </c>
      <c r="B32" s="493" t="s">
        <v>224</v>
      </c>
      <c r="C32" s="538">
        <v>45701</v>
      </c>
      <c r="D32" s="538">
        <v>45715</v>
      </c>
      <c r="E32" s="129" t="s">
        <v>36</v>
      </c>
      <c r="F32" s="31">
        <v>15</v>
      </c>
      <c r="G32" s="31">
        <v>15</v>
      </c>
      <c r="H32" s="31">
        <v>1</v>
      </c>
      <c r="I32" s="31">
        <v>0</v>
      </c>
      <c r="J32" s="31">
        <v>0</v>
      </c>
      <c r="K32" s="31">
        <v>0</v>
      </c>
      <c r="L32" s="31">
        <v>1</v>
      </c>
      <c r="M32" s="31">
        <v>0</v>
      </c>
    </row>
    <row r="33" spans="1:13">
      <c r="A33" s="381">
        <v>31</v>
      </c>
      <c r="B33" s="493" t="s">
        <v>225</v>
      </c>
      <c r="C33" s="538">
        <v>45701</v>
      </c>
      <c r="D33" s="538">
        <v>45708</v>
      </c>
      <c r="E33" s="129" t="s">
        <v>36</v>
      </c>
      <c r="F33" s="31">
        <v>8</v>
      </c>
      <c r="G33" s="31">
        <v>8</v>
      </c>
      <c r="H33" s="31">
        <v>1</v>
      </c>
      <c r="I33" s="31">
        <v>0</v>
      </c>
      <c r="J33" s="31">
        <v>0</v>
      </c>
      <c r="K33" s="31">
        <v>0</v>
      </c>
      <c r="L33" s="31">
        <v>0</v>
      </c>
      <c r="M33" s="31">
        <v>1</v>
      </c>
    </row>
    <row r="34" spans="1:13">
      <c r="A34" s="524">
        <v>32</v>
      </c>
      <c r="B34" s="539" t="s">
        <v>226</v>
      </c>
      <c r="C34" s="540">
        <v>45701</v>
      </c>
      <c r="D34" s="541"/>
      <c r="E34" s="541"/>
      <c r="F34" s="542">
        <v>16</v>
      </c>
      <c r="G34" s="542">
        <v>16</v>
      </c>
      <c r="H34" s="542"/>
      <c r="I34" s="542"/>
      <c r="J34" s="542"/>
      <c r="K34" s="542"/>
      <c r="L34" s="542">
        <v>1</v>
      </c>
      <c r="M34" s="552">
        <v>0</v>
      </c>
    </row>
    <row r="35" spans="1:13">
      <c r="A35" s="524">
        <v>33</v>
      </c>
      <c r="B35" s="539" t="s">
        <v>227</v>
      </c>
      <c r="C35" s="540">
        <v>45702</v>
      </c>
      <c r="D35" s="541"/>
      <c r="E35" s="541"/>
      <c r="F35" s="542">
        <v>15</v>
      </c>
      <c r="G35" s="542">
        <v>15</v>
      </c>
      <c r="H35" s="542"/>
      <c r="I35" s="542"/>
      <c r="J35" s="542"/>
      <c r="K35" s="542"/>
      <c r="L35" s="542">
        <v>1</v>
      </c>
      <c r="M35" s="552">
        <v>0</v>
      </c>
    </row>
    <row r="36" spans="1:13">
      <c r="A36" s="524">
        <v>34</v>
      </c>
      <c r="B36" s="539" t="s">
        <v>228</v>
      </c>
      <c r="C36" s="540">
        <v>45702</v>
      </c>
      <c r="D36" s="541"/>
      <c r="E36" s="541"/>
      <c r="F36" s="542">
        <v>15</v>
      </c>
      <c r="G36" s="542">
        <v>15</v>
      </c>
      <c r="H36" s="542"/>
      <c r="I36" s="542"/>
      <c r="J36" s="542"/>
      <c r="K36" s="542"/>
      <c r="L36" s="542">
        <v>0</v>
      </c>
      <c r="M36" s="552">
        <v>1</v>
      </c>
    </row>
    <row r="37" spans="1:13">
      <c r="A37" s="524">
        <v>35</v>
      </c>
      <c r="B37" s="539" t="s">
        <v>229</v>
      </c>
      <c r="C37" s="540">
        <v>45702</v>
      </c>
      <c r="D37" s="541"/>
      <c r="E37" s="541"/>
      <c r="F37" s="542">
        <v>15</v>
      </c>
      <c r="G37" s="542">
        <v>15</v>
      </c>
      <c r="H37" s="542"/>
      <c r="I37" s="542"/>
      <c r="J37" s="542"/>
      <c r="K37" s="542"/>
      <c r="L37" s="542">
        <v>1</v>
      </c>
      <c r="M37" s="552">
        <v>0</v>
      </c>
    </row>
    <row r="38" spans="1:13">
      <c r="A38" s="524">
        <v>36</v>
      </c>
      <c r="B38" s="539" t="s">
        <v>230</v>
      </c>
      <c r="C38" s="540">
        <v>45701</v>
      </c>
      <c r="D38" s="541"/>
      <c r="E38" s="541"/>
      <c r="F38" s="542">
        <v>16</v>
      </c>
      <c r="G38" s="542">
        <v>16</v>
      </c>
      <c r="H38" s="542"/>
      <c r="I38" s="542"/>
      <c r="J38" s="542"/>
      <c r="K38" s="542"/>
      <c r="L38" s="542">
        <v>0</v>
      </c>
      <c r="M38" s="552">
        <v>1</v>
      </c>
    </row>
    <row r="39" spans="1:13">
      <c r="A39" s="524">
        <v>37</v>
      </c>
      <c r="B39" s="539" t="s">
        <v>231</v>
      </c>
      <c r="C39" s="540">
        <v>45706</v>
      </c>
      <c r="D39" s="541"/>
      <c r="E39" s="541"/>
      <c r="F39" s="542">
        <v>11</v>
      </c>
      <c r="G39" s="542">
        <v>11</v>
      </c>
      <c r="H39" s="542"/>
      <c r="I39" s="542"/>
      <c r="J39" s="542"/>
      <c r="K39" s="542"/>
      <c r="L39" s="542">
        <v>1</v>
      </c>
      <c r="M39" s="552">
        <v>0</v>
      </c>
    </row>
    <row r="40" spans="1:13">
      <c r="A40" s="381">
        <v>38</v>
      </c>
      <c r="B40" s="493" t="s">
        <v>232</v>
      </c>
      <c r="C40" s="538">
        <v>45707</v>
      </c>
      <c r="D40" s="538">
        <v>45716</v>
      </c>
      <c r="E40" s="129" t="s">
        <v>36</v>
      </c>
      <c r="F40" s="441">
        <v>10</v>
      </c>
      <c r="G40" s="441">
        <v>10</v>
      </c>
      <c r="H40" s="441">
        <v>1</v>
      </c>
      <c r="I40" s="441">
        <v>0</v>
      </c>
      <c r="J40" s="441">
        <v>0</v>
      </c>
      <c r="K40" s="441">
        <v>0</v>
      </c>
      <c r="L40" s="441">
        <v>1</v>
      </c>
      <c r="M40" s="442">
        <v>0</v>
      </c>
    </row>
    <row r="41" spans="1:13">
      <c r="A41" s="524">
        <v>39</v>
      </c>
      <c r="B41" s="539" t="s">
        <v>233</v>
      </c>
      <c r="C41" s="540">
        <v>45707</v>
      </c>
      <c r="D41" s="541"/>
      <c r="E41" s="541"/>
      <c r="F41" s="542">
        <v>10</v>
      </c>
      <c r="G41" s="542">
        <v>10</v>
      </c>
      <c r="H41" s="542">
        <v>0</v>
      </c>
      <c r="I41" s="542">
        <v>0</v>
      </c>
      <c r="J41" s="542">
        <v>0</v>
      </c>
      <c r="K41" s="542">
        <v>0</v>
      </c>
      <c r="L41" s="542">
        <v>0</v>
      </c>
      <c r="M41" s="552">
        <v>1</v>
      </c>
    </row>
    <row r="42" spans="1:13">
      <c r="A42" s="524">
        <v>40</v>
      </c>
      <c r="B42" s="539" t="s">
        <v>234</v>
      </c>
      <c r="C42" s="540">
        <v>45711</v>
      </c>
      <c r="D42" s="541"/>
      <c r="E42" s="541"/>
      <c r="F42" s="542">
        <v>6</v>
      </c>
      <c r="G42" s="542">
        <v>6</v>
      </c>
      <c r="H42" s="542"/>
      <c r="I42" s="542"/>
      <c r="J42" s="542"/>
      <c r="K42" s="542"/>
      <c r="L42" s="542">
        <v>1</v>
      </c>
      <c r="M42" s="552">
        <v>0</v>
      </c>
    </row>
    <row r="43" spans="1:13">
      <c r="A43" s="524">
        <v>41</v>
      </c>
      <c r="B43" s="539" t="s">
        <v>235</v>
      </c>
      <c r="C43" s="540">
        <v>45708</v>
      </c>
      <c r="D43" s="541"/>
      <c r="E43" s="541"/>
      <c r="F43" s="542">
        <v>9</v>
      </c>
      <c r="G43" s="542">
        <v>9</v>
      </c>
      <c r="H43" s="542"/>
      <c r="I43" s="542"/>
      <c r="J43" s="542"/>
      <c r="K43" s="542"/>
      <c r="L43" s="542">
        <v>0</v>
      </c>
      <c r="M43" s="552">
        <v>1</v>
      </c>
    </row>
    <row r="44" spans="1:13">
      <c r="A44" s="524">
        <v>42</v>
      </c>
      <c r="B44" s="543" t="s">
        <v>236</v>
      </c>
      <c r="C44" s="544">
        <v>45712</v>
      </c>
      <c r="D44" s="541"/>
      <c r="E44" s="541"/>
      <c r="F44" s="542">
        <v>5</v>
      </c>
      <c r="G44" s="542">
        <v>5</v>
      </c>
      <c r="H44" s="542"/>
      <c r="I44" s="542"/>
      <c r="J44" s="542"/>
      <c r="K44" s="542"/>
      <c r="L44" s="542">
        <v>0</v>
      </c>
      <c r="M44" s="552">
        <v>1</v>
      </c>
    </row>
    <row r="45" spans="1:13">
      <c r="A45" s="47">
        <v>43</v>
      </c>
      <c r="B45" s="470" t="s">
        <v>237</v>
      </c>
      <c r="C45" s="65">
        <v>45712</v>
      </c>
      <c r="D45" s="545">
        <v>45713</v>
      </c>
      <c r="E45" s="46" t="s">
        <v>17</v>
      </c>
      <c r="F45" s="546">
        <v>1</v>
      </c>
      <c r="G45" s="546">
        <v>1</v>
      </c>
      <c r="H45" s="546">
        <v>1</v>
      </c>
      <c r="I45" s="546">
        <v>1</v>
      </c>
      <c r="J45" s="546">
        <v>0</v>
      </c>
      <c r="K45" s="546">
        <v>1</v>
      </c>
      <c r="L45" s="546">
        <v>0</v>
      </c>
      <c r="M45" s="553">
        <v>1</v>
      </c>
    </row>
    <row r="46" spans="1:13">
      <c r="A46" s="524">
        <v>44</v>
      </c>
      <c r="B46" s="547" t="s">
        <v>238</v>
      </c>
      <c r="C46" s="548">
        <v>45715</v>
      </c>
      <c r="D46" s="542"/>
      <c r="E46" s="542"/>
      <c r="F46" s="542">
        <v>2</v>
      </c>
      <c r="G46" s="542">
        <v>2</v>
      </c>
      <c r="H46" s="542"/>
      <c r="I46" s="542"/>
      <c r="J46" s="542"/>
      <c r="K46" s="542"/>
      <c r="L46" s="542">
        <v>0</v>
      </c>
      <c r="M46" s="552">
        <v>1</v>
      </c>
    </row>
    <row r="47" spans="1:13">
      <c r="A47" s="549">
        <v>45</v>
      </c>
      <c r="B47" s="547" t="s">
        <v>239</v>
      </c>
      <c r="C47" s="548">
        <v>45714</v>
      </c>
      <c r="D47" s="542"/>
      <c r="E47" s="542"/>
      <c r="F47" s="542">
        <v>3</v>
      </c>
      <c r="G47" s="542">
        <v>3</v>
      </c>
      <c r="H47" s="542"/>
      <c r="I47" s="542"/>
      <c r="J47" s="542"/>
      <c r="K47" s="542"/>
      <c r="L47" s="542">
        <v>0</v>
      </c>
      <c r="M47" s="552">
        <v>1</v>
      </c>
    </row>
    <row r="48" spans="1:13">
      <c r="A48" s="549">
        <v>46</v>
      </c>
      <c r="B48" s="547" t="s">
        <v>240</v>
      </c>
      <c r="C48" s="548">
        <v>45716</v>
      </c>
      <c r="D48" s="542"/>
      <c r="E48" s="542"/>
      <c r="F48" s="542">
        <v>1</v>
      </c>
      <c r="G48" s="542">
        <v>1</v>
      </c>
      <c r="H48" s="542">
        <v>0</v>
      </c>
      <c r="I48" s="542">
        <v>0</v>
      </c>
      <c r="J48" s="542">
        <v>0</v>
      </c>
      <c r="K48" s="542">
        <v>0</v>
      </c>
      <c r="L48" s="542">
        <v>1</v>
      </c>
      <c r="M48" s="552">
        <v>0</v>
      </c>
    </row>
    <row r="49" spans="1:13">
      <c r="A49" s="549">
        <v>47</v>
      </c>
      <c r="B49" s="543" t="s">
        <v>241</v>
      </c>
      <c r="C49" s="544">
        <v>45713</v>
      </c>
      <c r="D49" s="542"/>
      <c r="E49" s="542"/>
      <c r="F49" s="542">
        <v>4</v>
      </c>
      <c r="G49" s="542">
        <v>4</v>
      </c>
      <c r="H49" s="542"/>
      <c r="I49" s="542"/>
      <c r="J49" s="542"/>
      <c r="K49" s="542"/>
      <c r="L49" s="542">
        <v>1</v>
      </c>
      <c r="M49" s="552">
        <v>0</v>
      </c>
    </row>
    <row r="50" spans="1:13">
      <c r="A50" s="549">
        <v>48</v>
      </c>
      <c r="B50" s="543" t="s">
        <v>242</v>
      </c>
      <c r="C50" s="544">
        <v>45714</v>
      </c>
      <c r="D50" s="542"/>
      <c r="E50" s="542"/>
      <c r="F50" s="542">
        <v>3</v>
      </c>
      <c r="G50" s="542">
        <v>3</v>
      </c>
      <c r="H50" s="542"/>
      <c r="I50" s="542"/>
      <c r="J50" s="542"/>
      <c r="K50" s="542"/>
      <c r="L50" s="542">
        <v>1</v>
      </c>
      <c r="M50" s="552">
        <v>0</v>
      </c>
    </row>
    <row r="51" spans="1:13">
      <c r="A51" s="549">
        <v>49</v>
      </c>
      <c r="B51" s="543" t="s">
        <v>243</v>
      </c>
      <c r="C51" s="544">
        <v>45715</v>
      </c>
      <c r="D51" s="542"/>
      <c r="E51" s="542"/>
      <c r="F51" s="542">
        <v>2</v>
      </c>
      <c r="G51" s="542">
        <v>2</v>
      </c>
      <c r="H51" s="542"/>
      <c r="I51" s="542"/>
      <c r="J51" s="542"/>
      <c r="K51" s="542"/>
      <c r="L51" s="542">
        <v>0</v>
      </c>
      <c r="M51" s="552">
        <v>1</v>
      </c>
    </row>
    <row r="52" spans="1:13">
      <c r="A52" s="549">
        <v>50</v>
      </c>
      <c r="B52" s="543" t="s">
        <v>244</v>
      </c>
      <c r="C52" s="544">
        <v>45716</v>
      </c>
      <c r="D52" s="549"/>
      <c r="E52" s="549"/>
      <c r="F52" s="549">
        <v>1</v>
      </c>
      <c r="G52" s="549">
        <v>1</v>
      </c>
      <c r="H52" s="549"/>
      <c r="I52" s="549"/>
      <c r="J52" s="549"/>
      <c r="K52" s="549"/>
      <c r="L52" s="549">
        <v>1</v>
      </c>
      <c r="M52" s="549">
        <v>0</v>
      </c>
    </row>
    <row r="53" spans="1:13">
      <c r="A53" s="103"/>
      <c r="B53" s="104"/>
      <c r="C53" s="104"/>
      <c r="D53" s="104"/>
      <c r="E53" s="105"/>
      <c r="F53" s="196">
        <f>SUM(F3:F52)</f>
        <v>663</v>
      </c>
      <c r="G53" s="153">
        <f>SUM(G3:G52)</f>
        <v>662</v>
      </c>
      <c r="H53" s="153">
        <f>SUM(H3:H30)</f>
        <v>21</v>
      </c>
      <c r="I53" s="153">
        <v>2</v>
      </c>
      <c r="J53" s="153">
        <f>SUM(J3:J30)</f>
        <v>1</v>
      </c>
      <c r="K53" s="153">
        <v>1</v>
      </c>
      <c r="L53" s="153">
        <f>SUM(L3:L52)</f>
        <v>25</v>
      </c>
      <c r="M53" s="153">
        <f>SUM(M3:M52)</f>
        <v>25</v>
      </c>
    </row>
    <row r="54" spans="1:13">
      <c r="A54" s="108"/>
      <c r="B54" s="147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54"/>
    </row>
    <row r="55" spans="1:13" ht="38.25">
      <c r="A55" s="111"/>
      <c r="B55" s="148"/>
      <c r="C55" s="112" t="s">
        <v>91</v>
      </c>
      <c r="D55" s="113" t="s">
        <v>92</v>
      </c>
      <c r="E55" s="112" t="s">
        <v>93</v>
      </c>
      <c r="F55" s="113" t="s">
        <v>94</v>
      </c>
      <c r="G55" s="113" t="s">
        <v>95</v>
      </c>
      <c r="H55" s="113" t="s">
        <v>96</v>
      </c>
      <c r="I55" s="113" t="s">
        <v>97</v>
      </c>
      <c r="J55" s="113" t="s">
        <v>98</v>
      </c>
      <c r="K55" s="112" t="s">
        <v>99</v>
      </c>
      <c r="L55" s="138" t="s">
        <v>100</v>
      </c>
      <c r="M55" s="112" t="s">
        <v>101</v>
      </c>
    </row>
    <row r="56" spans="1:13">
      <c r="A56" s="111"/>
      <c r="B56" s="114"/>
      <c r="C56" s="115">
        <v>25</v>
      </c>
      <c r="D56" s="115">
        <v>28</v>
      </c>
      <c r="E56" s="115">
        <v>700</v>
      </c>
      <c r="F56" s="116">
        <f>F53</f>
        <v>663</v>
      </c>
      <c r="G56" s="117">
        <f>F56/E56</f>
        <v>0.94714285714285695</v>
      </c>
      <c r="H56" s="118">
        <f>F53/H53</f>
        <v>31.571428571428601</v>
      </c>
      <c r="I56" s="139">
        <f>I53/(L53+M53)</f>
        <v>0.04</v>
      </c>
      <c r="J56" s="139">
        <f>J53/I53</f>
        <v>0.5</v>
      </c>
      <c r="K56" s="140">
        <f>K53/(I53)</f>
        <v>0.5</v>
      </c>
      <c r="L56" s="141">
        <f>L53/(L53+M53)</f>
        <v>0.5</v>
      </c>
      <c r="M56" s="140">
        <f>M53/(L53+M53)</f>
        <v>0.5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9"/>
  <sheetViews>
    <sheetView topLeftCell="A19" workbookViewId="0">
      <selection activeCell="O10" sqref="O10:P18"/>
    </sheetView>
  </sheetViews>
  <sheetFormatPr defaultColWidth="9" defaultRowHeight="15"/>
  <cols>
    <col min="1" max="1" width="7.42578125" customWidth="1"/>
    <col min="2" max="2" width="36.7109375" customWidth="1"/>
    <col min="3" max="3" width="12.28515625" customWidth="1"/>
    <col min="4" max="4" width="10.85546875" customWidth="1"/>
    <col min="5" max="5" width="13.140625" customWidth="1"/>
    <col min="7" max="7" width="9.28515625" customWidth="1"/>
  </cols>
  <sheetData>
    <row r="1" spans="1:13">
      <c r="A1" s="666" t="s">
        <v>245</v>
      </c>
      <c r="B1" s="666"/>
      <c r="C1" s="666"/>
      <c r="D1" s="666"/>
      <c r="E1" s="666"/>
      <c r="F1" s="666"/>
      <c r="G1" s="1">
        <v>45717</v>
      </c>
      <c r="H1" s="2"/>
      <c r="I1" s="2"/>
      <c r="J1" s="2"/>
      <c r="K1" s="2"/>
      <c r="L1" s="2"/>
      <c r="M1" s="2"/>
    </row>
    <row r="3" spans="1:13">
      <c r="B3" s="443" t="s">
        <v>246</v>
      </c>
    </row>
    <row r="4" spans="1:13" ht="25.5">
      <c r="A4" s="7" t="s">
        <v>1</v>
      </c>
      <c r="B4" s="10" t="s">
        <v>2</v>
      </c>
      <c r="C4" s="7" t="s">
        <v>3</v>
      </c>
      <c r="D4" s="7" t="s">
        <v>4</v>
      </c>
      <c r="E4" s="8" t="s">
        <v>5</v>
      </c>
      <c r="F4" s="9" t="s">
        <v>6</v>
      </c>
      <c r="G4" s="7" t="s">
        <v>7</v>
      </c>
      <c r="H4" s="10" t="s">
        <v>8</v>
      </c>
      <c r="I4" s="10" t="s">
        <v>9</v>
      </c>
      <c r="J4" s="8" t="s">
        <v>10</v>
      </c>
      <c r="K4" s="134" t="s">
        <v>11</v>
      </c>
      <c r="L4" s="135" t="s">
        <v>12</v>
      </c>
      <c r="M4" s="134" t="s">
        <v>13</v>
      </c>
    </row>
    <row r="5" spans="1:13">
      <c r="A5" s="469">
        <v>1</v>
      </c>
      <c r="B5" s="470" t="s">
        <v>119</v>
      </c>
      <c r="C5" s="39">
        <v>45661</v>
      </c>
      <c r="D5" s="46" t="s">
        <v>247</v>
      </c>
      <c r="E5" s="46" t="s">
        <v>17</v>
      </c>
      <c r="F5" s="471">
        <v>1</v>
      </c>
      <c r="G5" s="471">
        <v>1</v>
      </c>
      <c r="H5" s="472">
        <v>1</v>
      </c>
      <c r="I5" s="472">
        <v>1</v>
      </c>
      <c r="J5" s="472">
        <v>1</v>
      </c>
      <c r="K5" s="472">
        <v>0</v>
      </c>
      <c r="L5" s="471">
        <v>0</v>
      </c>
      <c r="M5" s="471">
        <v>1</v>
      </c>
    </row>
    <row r="6" spans="1:13">
      <c r="A6" s="444">
        <v>2</v>
      </c>
      <c r="B6" s="473" t="s">
        <v>168</v>
      </c>
      <c r="C6" s="446" t="s">
        <v>248</v>
      </c>
      <c r="D6" s="312"/>
      <c r="E6" s="312"/>
      <c r="F6" s="136">
        <v>31</v>
      </c>
      <c r="G6" s="136">
        <v>31</v>
      </c>
      <c r="H6" s="312"/>
      <c r="I6" s="312"/>
      <c r="J6" s="312"/>
      <c r="K6" s="312"/>
      <c r="L6" s="463">
        <v>1</v>
      </c>
      <c r="M6" s="464">
        <v>0</v>
      </c>
    </row>
    <row r="7" spans="1:13">
      <c r="A7" s="447">
        <v>3</v>
      </c>
      <c r="B7" s="474" t="s">
        <v>170</v>
      </c>
      <c r="C7" s="449" t="s">
        <v>249</v>
      </c>
      <c r="D7" s="312"/>
      <c r="E7" s="312"/>
      <c r="F7" s="136">
        <v>31</v>
      </c>
      <c r="G7" s="136">
        <v>31</v>
      </c>
      <c r="H7" s="312"/>
      <c r="I7" s="312"/>
      <c r="J7" s="312"/>
      <c r="K7" s="312"/>
      <c r="L7" s="452">
        <v>0</v>
      </c>
      <c r="M7" s="465">
        <v>1</v>
      </c>
    </row>
    <row r="8" spans="1:13">
      <c r="A8" s="475">
        <v>4</v>
      </c>
      <c r="B8" s="476" t="s">
        <v>172</v>
      </c>
      <c r="C8" s="477" t="s">
        <v>150</v>
      </c>
      <c r="D8" s="51">
        <v>45747</v>
      </c>
      <c r="E8" s="206" t="s">
        <v>250</v>
      </c>
      <c r="F8" s="53">
        <v>31</v>
      </c>
      <c r="G8" s="53">
        <v>30</v>
      </c>
      <c r="H8" s="53">
        <v>1</v>
      </c>
      <c r="I8" s="53">
        <v>0</v>
      </c>
      <c r="J8" s="53">
        <v>0</v>
      </c>
      <c r="K8" s="53">
        <v>0</v>
      </c>
      <c r="L8" s="336">
        <v>0</v>
      </c>
      <c r="M8" s="480">
        <v>1</v>
      </c>
    </row>
    <row r="9" spans="1:13">
      <c r="A9" s="475">
        <v>5</v>
      </c>
      <c r="B9" s="478" t="s">
        <v>251</v>
      </c>
      <c r="C9" s="479">
        <v>45690</v>
      </c>
      <c r="D9" s="206" t="s">
        <v>252</v>
      </c>
      <c r="E9" s="206" t="s">
        <v>250</v>
      </c>
      <c r="F9" s="480">
        <v>16</v>
      </c>
      <c r="G9" s="480">
        <v>15</v>
      </c>
      <c r="H9" s="481">
        <v>1</v>
      </c>
      <c r="I9" s="481">
        <v>0</v>
      </c>
      <c r="J9" s="481">
        <v>0</v>
      </c>
      <c r="K9" s="481">
        <v>0</v>
      </c>
      <c r="L9" s="480">
        <v>1</v>
      </c>
      <c r="M9" s="480">
        <v>0</v>
      </c>
    </row>
    <row r="10" spans="1:13">
      <c r="A10" s="475">
        <v>6</v>
      </c>
      <c r="B10" s="482" t="s">
        <v>223</v>
      </c>
      <c r="C10" s="483">
        <v>45699</v>
      </c>
      <c r="D10" s="52" t="s">
        <v>253</v>
      </c>
      <c r="E10" s="52" t="s">
        <v>250</v>
      </c>
      <c r="F10" s="484">
        <v>27</v>
      </c>
      <c r="G10" s="484">
        <v>26</v>
      </c>
      <c r="H10" s="475">
        <v>1</v>
      </c>
      <c r="I10" s="475">
        <v>0</v>
      </c>
      <c r="J10" s="475">
        <v>0</v>
      </c>
      <c r="K10" s="475">
        <v>0</v>
      </c>
      <c r="L10" s="484">
        <v>0</v>
      </c>
      <c r="M10" s="484">
        <v>1</v>
      </c>
    </row>
    <row r="11" spans="1:13">
      <c r="A11" s="485">
        <v>7</v>
      </c>
      <c r="B11" s="486" t="s">
        <v>226</v>
      </c>
      <c r="C11" s="487">
        <v>45701</v>
      </c>
      <c r="D11" s="488" t="s">
        <v>254</v>
      </c>
      <c r="E11" s="488" t="s">
        <v>255</v>
      </c>
      <c r="F11" s="489">
        <v>14</v>
      </c>
      <c r="G11" s="489">
        <v>13</v>
      </c>
      <c r="H11" s="490">
        <v>1</v>
      </c>
      <c r="I11" s="490">
        <v>0</v>
      </c>
      <c r="J11" s="490">
        <v>0</v>
      </c>
      <c r="K11" s="490">
        <v>0</v>
      </c>
      <c r="L11" s="489">
        <v>1</v>
      </c>
      <c r="M11" s="489">
        <v>0</v>
      </c>
    </row>
    <row r="12" spans="1:13">
      <c r="A12" s="485">
        <v>8</v>
      </c>
      <c r="B12" s="486" t="s">
        <v>230</v>
      </c>
      <c r="C12" s="487">
        <v>45701</v>
      </c>
      <c r="D12" s="491" t="s">
        <v>256</v>
      </c>
      <c r="E12" s="491" t="s">
        <v>255</v>
      </c>
      <c r="F12" s="492">
        <v>13</v>
      </c>
      <c r="G12" s="492">
        <v>12</v>
      </c>
      <c r="H12" s="485">
        <v>1</v>
      </c>
      <c r="I12" s="485">
        <v>0</v>
      </c>
      <c r="J12" s="485">
        <v>0</v>
      </c>
      <c r="K12" s="485">
        <v>0</v>
      </c>
      <c r="L12" s="492">
        <v>0</v>
      </c>
      <c r="M12" s="492">
        <v>1</v>
      </c>
    </row>
    <row r="13" spans="1:13">
      <c r="A13" s="426">
        <v>9</v>
      </c>
      <c r="B13" s="493" t="s">
        <v>233</v>
      </c>
      <c r="C13" s="494">
        <v>45707</v>
      </c>
      <c r="D13" s="495" t="s">
        <v>257</v>
      </c>
      <c r="E13" s="129" t="s">
        <v>36</v>
      </c>
      <c r="F13" s="438">
        <v>2</v>
      </c>
      <c r="G13" s="438">
        <v>2</v>
      </c>
      <c r="H13" s="496">
        <v>1</v>
      </c>
      <c r="I13" s="496">
        <v>0</v>
      </c>
      <c r="J13" s="496">
        <v>0</v>
      </c>
      <c r="K13" s="496">
        <v>0</v>
      </c>
      <c r="L13" s="438">
        <v>1</v>
      </c>
      <c r="M13" s="439">
        <v>0</v>
      </c>
    </row>
    <row r="14" spans="1:13">
      <c r="A14" s="475">
        <v>10</v>
      </c>
      <c r="B14" s="482" t="s">
        <v>234</v>
      </c>
      <c r="C14" s="483" t="s">
        <v>55</v>
      </c>
      <c r="D14" s="477" t="s">
        <v>258</v>
      </c>
      <c r="E14" s="52" t="s">
        <v>250</v>
      </c>
      <c r="F14" s="497">
        <v>20</v>
      </c>
      <c r="G14" s="497">
        <v>19</v>
      </c>
      <c r="H14" s="498">
        <v>1</v>
      </c>
      <c r="I14" s="498">
        <v>0</v>
      </c>
      <c r="J14" s="498">
        <v>0</v>
      </c>
      <c r="K14" s="498">
        <v>0</v>
      </c>
      <c r="L14" s="497">
        <v>1</v>
      </c>
      <c r="M14" s="484">
        <v>0</v>
      </c>
    </row>
    <row r="15" spans="1:13">
      <c r="A15" s="475">
        <v>11</v>
      </c>
      <c r="B15" s="86" t="s">
        <v>236</v>
      </c>
      <c r="C15" s="89">
        <v>45712</v>
      </c>
      <c r="D15" s="431">
        <v>45733</v>
      </c>
      <c r="E15" s="206" t="s">
        <v>250</v>
      </c>
      <c r="F15" s="432">
        <v>17</v>
      </c>
      <c r="G15" s="432">
        <v>16</v>
      </c>
      <c r="H15" s="432">
        <v>1</v>
      </c>
      <c r="I15" s="432">
        <v>0</v>
      </c>
      <c r="J15" s="432">
        <v>0</v>
      </c>
      <c r="K15" s="432">
        <v>0</v>
      </c>
      <c r="L15" s="53">
        <v>0</v>
      </c>
      <c r="M15" s="53">
        <v>1</v>
      </c>
    </row>
    <row r="16" spans="1:13">
      <c r="A16" s="475">
        <v>12</v>
      </c>
      <c r="B16" s="87" t="s">
        <v>259</v>
      </c>
      <c r="C16" s="89">
        <v>45715</v>
      </c>
      <c r="D16" s="499">
        <v>45743</v>
      </c>
      <c r="E16" s="52" t="s">
        <v>250</v>
      </c>
      <c r="F16" s="500">
        <v>27</v>
      </c>
      <c r="G16" s="500">
        <v>26</v>
      </c>
      <c r="H16" s="500">
        <v>1</v>
      </c>
      <c r="I16" s="500">
        <v>0</v>
      </c>
      <c r="J16" s="500">
        <v>0</v>
      </c>
      <c r="K16" s="500">
        <v>0</v>
      </c>
      <c r="L16" s="500">
        <v>0</v>
      </c>
      <c r="M16" s="510">
        <v>1</v>
      </c>
    </row>
    <row r="17" spans="1:13">
      <c r="A17" s="90">
        <v>13</v>
      </c>
      <c r="B17" s="87" t="s">
        <v>239</v>
      </c>
      <c r="C17" s="89">
        <v>45714</v>
      </c>
      <c r="D17" s="335" t="s">
        <v>260</v>
      </c>
      <c r="E17" s="206" t="s">
        <v>250</v>
      </c>
      <c r="F17" s="336">
        <v>6</v>
      </c>
      <c r="G17" s="336">
        <v>5</v>
      </c>
      <c r="H17" s="405">
        <v>1</v>
      </c>
      <c r="I17" s="405">
        <v>0</v>
      </c>
      <c r="J17" s="405">
        <v>0</v>
      </c>
      <c r="K17" s="405">
        <v>0</v>
      </c>
      <c r="L17" s="336">
        <v>0</v>
      </c>
      <c r="M17" s="480">
        <v>1</v>
      </c>
    </row>
    <row r="18" spans="1:13">
      <c r="A18" s="41">
        <v>14</v>
      </c>
      <c r="B18" s="501" t="s">
        <v>240</v>
      </c>
      <c r="C18" s="39">
        <v>45716</v>
      </c>
      <c r="D18" s="502" t="s">
        <v>257</v>
      </c>
      <c r="E18" s="46" t="s">
        <v>17</v>
      </c>
      <c r="F18" s="503">
        <v>2</v>
      </c>
      <c r="G18" s="503">
        <v>2</v>
      </c>
      <c r="H18" s="504">
        <v>1</v>
      </c>
      <c r="I18" s="504">
        <v>1</v>
      </c>
      <c r="J18" s="504">
        <v>1</v>
      </c>
      <c r="K18" s="504">
        <v>0</v>
      </c>
      <c r="L18" s="503">
        <v>1</v>
      </c>
      <c r="M18" s="471">
        <v>0</v>
      </c>
    </row>
    <row r="19" spans="1:13">
      <c r="A19" s="307">
        <v>15</v>
      </c>
      <c r="B19" s="243" t="s">
        <v>241</v>
      </c>
      <c r="C19" s="450">
        <v>45713</v>
      </c>
      <c r="D19" s="451"/>
      <c r="E19" s="451"/>
      <c r="F19" s="452">
        <v>31</v>
      </c>
      <c r="G19" s="452">
        <v>31</v>
      </c>
      <c r="H19" s="466"/>
      <c r="I19" s="466"/>
      <c r="J19" s="466"/>
      <c r="K19" s="466"/>
      <c r="L19" s="467">
        <v>1</v>
      </c>
      <c r="M19" s="468">
        <v>0</v>
      </c>
    </row>
    <row r="20" spans="1:13">
      <c r="A20" s="85">
        <v>16</v>
      </c>
      <c r="B20" s="28" t="s">
        <v>242</v>
      </c>
      <c r="C20" s="151">
        <v>45714</v>
      </c>
      <c r="D20" s="382" t="s">
        <v>261</v>
      </c>
      <c r="E20" s="129" t="s">
        <v>36</v>
      </c>
      <c r="F20" s="403">
        <v>10</v>
      </c>
      <c r="G20" s="403">
        <v>10</v>
      </c>
      <c r="H20" s="440">
        <v>1</v>
      </c>
      <c r="I20" s="440">
        <v>0</v>
      </c>
      <c r="J20" s="440">
        <v>0</v>
      </c>
      <c r="K20" s="440">
        <v>0</v>
      </c>
      <c r="L20" s="441">
        <v>1</v>
      </c>
      <c r="M20" s="442">
        <v>0</v>
      </c>
    </row>
    <row r="21" spans="1:13">
      <c r="A21" s="307">
        <v>17</v>
      </c>
      <c r="B21" s="243" t="s">
        <v>262</v>
      </c>
      <c r="C21" s="450">
        <v>45715</v>
      </c>
      <c r="D21" s="451"/>
      <c r="E21" s="314"/>
      <c r="F21" s="452">
        <v>31</v>
      </c>
      <c r="G21" s="452">
        <v>31</v>
      </c>
      <c r="H21" s="466"/>
      <c r="I21" s="466"/>
      <c r="J21" s="466"/>
      <c r="K21" s="466"/>
      <c r="L21" s="467">
        <v>0</v>
      </c>
      <c r="M21" s="468">
        <v>1</v>
      </c>
    </row>
    <row r="22" spans="1:13">
      <c r="A22" s="85">
        <v>18</v>
      </c>
      <c r="B22" s="28" t="s">
        <v>263</v>
      </c>
      <c r="C22" s="151">
        <v>45716</v>
      </c>
      <c r="D22" s="434">
        <v>45743</v>
      </c>
      <c r="E22" s="21" t="s">
        <v>36</v>
      </c>
      <c r="F22" s="435">
        <v>27</v>
      </c>
      <c r="G22" s="435">
        <v>27</v>
      </c>
      <c r="H22" s="435">
        <v>1</v>
      </c>
      <c r="I22" s="435">
        <v>0</v>
      </c>
      <c r="J22" s="435">
        <v>0</v>
      </c>
      <c r="K22" s="435">
        <v>0</v>
      </c>
      <c r="L22" s="31">
        <v>1</v>
      </c>
      <c r="M22" s="31">
        <v>0</v>
      </c>
    </row>
    <row r="23" spans="1:13">
      <c r="A23" s="307">
        <v>19</v>
      </c>
      <c r="B23" s="422" t="s">
        <v>264</v>
      </c>
      <c r="C23" s="454">
        <v>45720</v>
      </c>
      <c r="D23" s="339"/>
      <c r="E23" s="339"/>
      <c r="F23" s="408">
        <v>28</v>
      </c>
      <c r="G23" s="408">
        <v>28</v>
      </c>
      <c r="H23" s="408"/>
      <c r="I23" s="408"/>
      <c r="J23" s="408"/>
      <c r="K23" s="408"/>
      <c r="L23" s="408">
        <v>0</v>
      </c>
      <c r="M23" s="409">
        <v>1</v>
      </c>
    </row>
    <row r="24" spans="1:13">
      <c r="A24" s="85">
        <v>20</v>
      </c>
      <c r="B24" s="311" t="s">
        <v>265</v>
      </c>
      <c r="C24" s="150">
        <v>45720</v>
      </c>
      <c r="D24" s="434">
        <v>45733</v>
      </c>
      <c r="E24" s="129" t="s">
        <v>36</v>
      </c>
      <c r="F24" s="435">
        <v>14</v>
      </c>
      <c r="G24" s="435">
        <v>14</v>
      </c>
      <c r="H24" s="435">
        <v>1</v>
      </c>
      <c r="I24" s="435">
        <v>0</v>
      </c>
      <c r="J24" s="435">
        <v>0</v>
      </c>
      <c r="K24" s="435">
        <v>0</v>
      </c>
      <c r="L24" s="435">
        <v>1</v>
      </c>
      <c r="M24" s="31">
        <v>0</v>
      </c>
    </row>
    <row r="25" spans="1:13">
      <c r="A25" s="85">
        <v>21</v>
      </c>
      <c r="B25" s="311" t="s">
        <v>266</v>
      </c>
      <c r="C25" s="150">
        <v>45720</v>
      </c>
      <c r="D25" s="434">
        <v>45723</v>
      </c>
      <c r="E25" s="129" t="s">
        <v>36</v>
      </c>
      <c r="F25" s="435">
        <v>4</v>
      </c>
      <c r="G25" s="435">
        <v>4</v>
      </c>
      <c r="H25" s="435">
        <v>1</v>
      </c>
      <c r="I25" s="435">
        <v>0</v>
      </c>
      <c r="J25" s="435">
        <v>0</v>
      </c>
      <c r="K25" s="435">
        <v>0</v>
      </c>
      <c r="L25" s="435">
        <v>1</v>
      </c>
      <c r="M25" s="31">
        <v>0</v>
      </c>
    </row>
    <row r="26" spans="1:13">
      <c r="A26" s="307">
        <v>22</v>
      </c>
      <c r="B26" s="422" t="s">
        <v>267</v>
      </c>
      <c r="C26" s="454">
        <v>45723</v>
      </c>
      <c r="D26" s="339"/>
      <c r="E26" s="339"/>
      <c r="F26" s="408">
        <v>25</v>
      </c>
      <c r="G26" s="408">
        <v>25</v>
      </c>
      <c r="H26" s="408"/>
      <c r="I26" s="408"/>
      <c r="J26" s="408"/>
      <c r="K26" s="408"/>
      <c r="L26" s="408">
        <v>0</v>
      </c>
      <c r="M26" s="409">
        <v>1</v>
      </c>
    </row>
    <row r="27" spans="1:13">
      <c r="A27" s="90">
        <v>23</v>
      </c>
      <c r="B27" s="429" t="s">
        <v>268</v>
      </c>
      <c r="C27" s="430">
        <v>45725</v>
      </c>
      <c r="D27" s="431">
        <v>45747</v>
      </c>
      <c r="E27" s="206" t="s">
        <v>250</v>
      </c>
      <c r="F27" s="432">
        <v>23</v>
      </c>
      <c r="G27" s="432">
        <v>22</v>
      </c>
      <c r="H27" s="432">
        <v>1</v>
      </c>
      <c r="I27" s="432">
        <v>0</v>
      </c>
      <c r="J27" s="432">
        <v>0</v>
      </c>
      <c r="K27" s="432">
        <v>0</v>
      </c>
      <c r="L27" s="432">
        <v>1</v>
      </c>
      <c r="M27" s="53">
        <v>0</v>
      </c>
    </row>
    <row r="28" spans="1:13">
      <c r="A28" s="85">
        <v>24</v>
      </c>
      <c r="B28" s="311" t="s">
        <v>269</v>
      </c>
      <c r="C28" s="150">
        <v>45726</v>
      </c>
      <c r="D28" s="294">
        <v>45738</v>
      </c>
      <c r="E28" s="21" t="s">
        <v>36</v>
      </c>
      <c r="F28" s="292">
        <v>13</v>
      </c>
      <c r="G28" s="292">
        <v>13</v>
      </c>
      <c r="H28" s="292">
        <v>1</v>
      </c>
      <c r="I28" s="292">
        <v>0</v>
      </c>
      <c r="J28" s="292">
        <v>0</v>
      </c>
      <c r="K28" s="292">
        <v>0</v>
      </c>
      <c r="L28" s="292">
        <v>1</v>
      </c>
      <c r="M28" s="85">
        <v>0</v>
      </c>
    </row>
    <row r="29" spans="1:13">
      <c r="A29" s="505">
        <v>25</v>
      </c>
      <c r="B29" s="24" t="s">
        <v>270</v>
      </c>
      <c r="C29" s="32">
        <v>45728</v>
      </c>
      <c r="D29" s="339"/>
      <c r="E29" s="339"/>
      <c r="F29" s="408">
        <v>20</v>
      </c>
      <c r="G29" s="408">
        <v>20</v>
      </c>
      <c r="H29" s="408"/>
      <c r="I29" s="408"/>
      <c r="J29" s="408"/>
      <c r="K29" s="408"/>
      <c r="L29" s="408">
        <v>0</v>
      </c>
      <c r="M29" s="409">
        <v>1</v>
      </c>
    </row>
    <row r="30" spans="1:13">
      <c r="A30" s="41">
        <v>26</v>
      </c>
      <c r="B30" s="506" t="s">
        <v>271</v>
      </c>
      <c r="C30" s="456">
        <v>45730</v>
      </c>
      <c r="D30" s="457">
        <v>45731</v>
      </c>
      <c r="E30" s="46" t="s">
        <v>17</v>
      </c>
      <c r="F30" s="297">
        <v>1</v>
      </c>
      <c r="G30" s="297">
        <v>1</v>
      </c>
      <c r="H30" s="297">
        <v>1</v>
      </c>
      <c r="I30" s="297">
        <v>1</v>
      </c>
      <c r="J30" s="297">
        <v>0</v>
      </c>
      <c r="K30" s="297">
        <v>1</v>
      </c>
      <c r="L30" s="297">
        <v>1</v>
      </c>
      <c r="M30" s="47">
        <v>0</v>
      </c>
    </row>
    <row r="31" spans="1:13">
      <c r="A31" s="90">
        <v>27</v>
      </c>
      <c r="B31" s="429" t="s">
        <v>272</v>
      </c>
      <c r="C31" s="430">
        <v>45730</v>
      </c>
      <c r="D31" s="345">
        <v>45739</v>
      </c>
      <c r="E31" s="52" t="s">
        <v>250</v>
      </c>
      <c r="F31" s="333">
        <v>10</v>
      </c>
      <c r="G31" s="333">
        <v>9</v>
      </c>
      <c r="H31" s="333">
        <v>1</v>
      </c>
      <c r="I31" s="333">
        <v>0</v>
      </c>
      <c r="J31" s="333">
        <v>0</v>
      </c>
      <c r="K31" s="333">
        <v>0</v>
      </c>
      <c r="L31" s="333">
        <v>1</v>
      </c>
      <c r="M31" s="90">
        <v>0</v>
      </c>
    </row>
    <row r="32" spans="1:13">
      <c r="A32" s="307">
        <v>28</v>
      </c>
      <c r="B32" s="422" t="s">
        <v>273</v>
      </c>
      <c r="C32" s="454">
        <v>45732</v>
      </c>
      <c r="D32" s="339"/>
      <c r="E32" s="339"/>
      <c r="F32" s="408">
        <v>16</v>
      </c>
      <c r="G32" s="408">
        <v>16</v>
      </c>
      <c r="H32" s="408"/>
      <c r="I32" s="408"/>
      <c r="J32" s="408"/>
      <c r="K32" s="408"/>
      <c r="L32" s="408">
        <v>1</v>
      </c>
      <c r="M32" s="409">
        <v>0</v>
      </c>
    </row>
    <row r="33" spans="1:13">
      <c r="A33" s="90">
        <v>29</v>
      </c>
      <c r="B33" s="429" t="s">
        <v>274</v>
      </c>
      <c r="C33" s="430">
        <v>45731</v>
      </c>
      <c r="D33" s="345">
        <v>45736</v>
      </c>
      <c r="E33" s="52" t="s">
        <v>250</v>
      </c>
      <c r="F33" s="333">
        <v>6</v>
      </c>
      <c r="G33" s="333">
        <v>5</v>
      </c>
      <c r="H33" s="333">
        <v>1</v>
      </c>
      <c r="I33" s="333">
        <v>0</v>
      </c>
      <c r="J33" s="333">
        <v>0</v>
      </c>
      <c r="K33" s="333">
        <v>0</v>
      </c>
      <c r="L33" s="333">
        <v>1</v>
      </c>
      <c r="M33" s="90">
        <v>0</v>
      </c>
    </row>
    <row r="34" spans="1:13">
      <c r="A34" s="172">
        <v>30</v>
      </c>
      <c r="B34" s="392" t="s">
        <v>275</v>
      </c>
      <c r="C34" s="388">
        <v>45734</v>
      </c>
      <c r="D34" s="389">
        <v>45740</v>
      </c>
      <c r="E34" s="491" t="s">
        <v>255</v>
      </c>
      <c r="F34" s="390">
        <v>7</v>
      </c>
      <c r="G34" s="390">
        <v>6</v>
      </c>
      <c r="H34" s="390">
        <v>1</v>
      </c>
      <c r="I34" s="390">
        <v>0</v>
      </c>
      <c r="J34" s="390">
        <v>0</v>
      </c>
      <c r="K34" s="390">
        <v>0</v>
      </c>
      <c r="L34" s="390">
        <v>0</v>
      </c>
      <c r="M34" s="61">
        <v>1</v>
      </c>
    </row>
    <row r="35" spans="1:13">
      <c r="A35" s="307">
        <v>31</v>
      </c>
      <c r="B35" s="422" t="s">
        <v>276</v>
      </c>
      <c r="C35" s="454">
        <v>45736</v>
      </c>
      <c r="D35" s="339"/>
      <c r="E35" s="339"/>
      <c r="F35" s="408">
        <v>12</v>
      </c>
      <c r="G35" s="408">
        <v>12</v>
      </c>
      <c r="H35" s="408"/>
      <c r="I35" s="408"/>
      <c r="J35" s="408"/>
      <c r="K35" s="408"/>
      <c r="L35" s="408">
        <v>0</v>
      </c>
      <c r="M35" s="409">
        <v>1</v>
      </c>
    </row>
    <row r="36" spans="1:13">
      <c r="A36" s="307">
        <v>32</v>
      </c>
      <c r="B36" s="422" t="s">
        <v>277</v>
      </c>
      <c r="C36" s="454">
        <v>45739</v>
      </c>
      <c r="D36" s="339"/>
      <c r="E36" s="339"/>
      <c r="F36" s="408">
        <v>9</v>
      </c>
      <c r="G36" s="408">
        <v>9</v>
      </c>
      <c r="H36" s="408"/>
      <c r="I36" s="408"/>
      <c r="J36" s="408"/>
      <c r="K36" s="408"/>
      <c r="L36" s="408">
        <v>1</v>
      </c>
      <c r="M36" s="409">
        <v>0</v>
      </c>
    </row>
    <row r="37" spans="1:13">
      <c r="A37" s="172">
        <v>33</v>
      </c>
      <c r="B37" s="392" t="s">
        <v>278</v>
      </c>
      <c r="C37" s="388">
        <v>45736</v>
      </c>
      <c r="D37" s="507">
        <v>45014</v>
      </c>
      <c r="E37" s="491" t="s">
        <v>255</v>
      </c>
      <c r="F37" s="508">
        <v>10</v>
      </c>
      <c r="G37" s="508">
        <v>9</v>
      </c>
      <c r="H37" s="508">
        <v>1</v>
      </c>
      <c r="I37" s="508">
        <v>0</v>
      </c>
      <c r="J37" s="508">
        <v>0</v>
      </c>
      <c r="K37" s="508">
        <v>0</v>
      </c>
      <c r="L37" s="508">
        <v>1</v>
      </c>
      <c r="M37" s="172">
        <v>0</v>
      </c>
    </row>
    <row r="38" spans="1:13">
      <c r="A38" s="307">
        <v>34</v>
      </c>
      <c r="B38" s="422" t="s">
        <v>279</v>
      </c>
      <c r="C38" s="454">
        <v>45739</v>
      </c>
      <c r="D38" s="339"/>
      <c r="E38" s="339"/>
      <c r="F38" s="408">
        <v>9</v>
      </c>
      <c r="G38" s="408">
        <v>9</v>
      </c>
      <c r="H38" s="339"/>
      <c r="I38" s="339"/>
      <c r="J38" s="339"/>
      <c r="K38" s="339"/>
      <c r="L38" s="408">
        <v>1</v>
      </c>
      <c r="M38" s="409">
        <v>0</v>
      </c>
    </row>
    <row r="39" spans="1:13">
      <c r="A39" s="307">
        <v>35</v>
      </c>
      <c r="B39" s="509" t="s">
        <v>280</v>
      </c>
      <c r="C39" s="152">
        <v>45739</v>
      </c>
      <c r="D39" s="339"/>
      <c r="E39" s="339"/>
      <c r="F39" s="408">
        <v>9</v>
      </c>
      <c r="G39" s="408">
        <v>9</v>
      </c>
      <c r="H39" s="339"/>
      <c r="I39" s="339"/>
      <c r="J39" s="339"/>
      <c r="K39" s="339"/>
      <c r="L39" s="408">
        <v>0</v>
      </c>
      <c r="M39" s="409">
        <v>1</v>
      </c>
    </row>
    <row r="40" spans="1:13">
      <c r="A40" s="307">
        <v>36</v>
      </c>
      <c r="B40" s="422" t="s">
        <v>281</v>
      </c>
      <c r="C40" s="454">
        <v>45740</v>
      </c>
      <c r="D40" s="339"/>
      <c r="E40" s="339"/>
      <c r="F40" s="408">
        <v>8</v>
      </c>
      <c r="G40" s="408">
        <v>8</v>
      </c>
      <c r="H40" s="339"/>
      <c r="I40" s="339"/>
      <c r="J40" s="339"/>
      <c r="K40" s="339"/>
      <c r="L40" s="408">
        <v>0</v>
      </c>
      <c r="M40" s="409">
        <v>1</v>
      </c>
    </row>
    <row r="41" spans="1:13">
      <c r="A41" s="307">
        <v>37</v>
      </c>
      <c r="B41" s="422" t="s">
        <v>282</v>
      </c>
      <c r="C41" s="454">
        <v>45743</v>
      </c>
      <c r="D41" s="339"/>
      <c r="E41" s="339"/>
      <c r="F41" s="408">
        <v>5</v>
      </c>
      <c r="G41" s="408">
        <v>5</v>
      </c>
      <c r="H41" s="339"/>
      <c r="I41" s="339"/>
      <c r="J41" s="339"/>
      <c r="K41" s="339"/>
      <c r="L41" s="408">
        <v>0</v>
      </c>
      <c r="M41" s="409">
        <v>1</v>
      </c>
    </row>
    <row r="42" spans="1:13">
      <c r="A42" s="307">
        <v>38</v>
      </c>
      <c r="B42" s="422" t="s">
        <v>283</v>
      </c>
      <c r="C42" s="454">
        <v>45744</v>
      </c>
      <c r="D42" s="339"/>
      <c r="E42" s="339"/>
      <c r="F42" s="408">
        <v>4</v>
      </c>
      <c r="G42" s="408">
        <v>4</v>
      </c>
      <c r="H42" s="339"/>
      <c r="I42" s="339"/>
      <c r="J42" s="339"/>
      <c r="K42" s="339"/>
      <c r="L42" s="408">
        <v>1</v>
      </c>
      <c r="M42" s="409">
        <v>0</v>
      </c>
    </row>
    <row r="43" spans="1:13">
      <c r="A43" s="307">
        <v>38</v>
      </c>
      <c r="B43" s="422" t="s">
        <v>284</v>
      </c>
      <c r="C43" s="454">
        <v>45745</v>
      </c>
      <c r="D43" s="339"/>
      <c r="E43" s="339"/>
      <c r="F43" s="408">
        <v>3</v>
      </c>
      <c r="G43" s="408">
        <v>3</v>
      </c>
      <c r="H43" s="339"/>
      <c r="I43" s="339"/>
      <c r="J43" s="339"/>
      <c r="K43" s="339"/>
      <c r="L43" s="408">
        <v>1</v>
      </c>
      <c r="M43" s="409">
        <v>0</v>
      </c>
    </row>
    <row r="44" spans="1:13">
      <c r="A44" s="307">
        <v>39</v>
      </c>
      <c r="B44" s="422" t="s">
        <v>285</v>
      </c>
      <c r="C44" s="454">
        <v>45747</v>
      </c>
      <c r="D44" s="339"/>
      <c r="E44" s="339"/>
      <c r="F44" s="408">
        <v>1</v>
      </c>
      <c r="G44" s="408">
        <v>1</v>
      </c>
      <c r="H44" s="339"/>
      <c r="I44" s="339"/>
      <c r="J44" s="339"/>
      <c r="K44" s="339"/>
      <c r="L44" s="408">
        <v>1</v>
      </c>
      <c r="M44" s="409">
        <v>0</v>
      </c>
    </row>
    <row r="45" spans="1:13">
      <c r="A45" s="307">
        <v>40</v>
      </c>
      <c r="B45" s="422" t="s">
        <v>286</v>
      </c>
      <c r="C45" s="454">
        <v>45747</v>
      </c>
      <c r="D45" s="339"/>
      <c r="E45" s="339"/>
      <c r="F45" s="408">
        <v>1</v>
      </c>
      <c r="G45" s="408">
        <v>1</v>
      </c>
      <c r="H45" s="339"/>
      <c r="I45" s="339"/>
      <c r="J45" s="339"/>
      <c r="K45" s="339"/>
      <c r="L45" s="408">
        <v>1</v>
      </c>
      <c r="M45" s="409">
        <v>0</v>
      </c>
    </row>
    <row r="46" spans="1:13">
      <c r="A46" s="103"/>
      <c r="B46" s="104"/>
      <c r="C46" s="104"/>
      <c r="D46" s="104"/>
      <c r="E46" s="105"/>
      <c r="F46" s="196">
        <f>SUM(F5:F45)</f>
        <v>575</v>
      </c>
      <c r="G46" s="153">
        <f>SUM(G5:G45)</f>
        <v>561</v>
      </c>
      <c r="H46" s="153">
        <f>SUM(H5:H22)</f>
        <v>14</v>
      </c>
      <c r="I46" s="153">
        <f>SUM(I5:I22)</f>
        <v>2</v>
      </c>
      <c r="J46" s="153">
        <f>SUM(J5:J22)</f>
        <v>2</v>
      </c>
      <c r="K46" s="153">
        <v>0</v>
      </c>
      <c r="L46" s="153">
        <f>SUM(L5:L45)</f>
        <v>24</v>
      </c>
      <c r="M46" s="153">
        <f>SUM(M5:M45)</f>
        <v>17</v>
      </c>
    </row>
    <row r="47" spans="1:13">
      <c r="A47" s="108"/>
      <c r="B47" s="147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54"/>
    </row>
    <row r="48" spans="1:13" ht="38.25">
      <c r="A48" s="111"/>
      <c r="B48" s="148"/>
      <c r="C48" s="112" t="s">
        <v>91</v>
      </c>
      <c r="D48" s="113" t="s">
        <v>92</v>
      </c>
      <c r="E48" s="112" t="s">
        <v>93</v>
      </c>
      <c r="F48" s="113" t="s">
        <v>94</v>
      </c>
      <c r="G48" s="113" t="s">
        <v>95</v>
      </c>
      <c r="H48" s="113" t="s">
        <v>96</v>
      </c>
      <c r="I48" s="113" t="s">
        <v>97</v>
      </c>
      <c r="J48" s="113" t="s">
        <v>98</v>
      </c>
      <c r="K48" s="112" t="s">
        <v>99</v>
      </c>
      <c r="L48" s="138" t="s">
        <v>100</v>
      </c>
      <c r="M48" s="112" t="s">
        <v>101</v>
      </c>
    </row>
    <row r="49" spans="1:13">
      <c r="A49" s="111"/>
      <c r="B49" s="114"/>
      <c r="C49" s="115">
        <v>18</v>
      </c>
      <c r="D49" s="115">
        <v>31</v>
      </c>
      <c r="E49" s="115">
        <v>558</v>
      </c>
      <c r="F49" s="116">
        <f>F46</f>
        <v>575</v>
      </c>
      <c r="G49" s="117">
        <f>F49/E49</f>
        <v>1.03046594982079</v>
      </c>
      <c r="H49" s="118">
        <f>F46/H46</f>
        <v>41.071428571428598</v>
      </c>
      <c r="I49" s="139">
        <f>I46/(L46+M46)</f>
        <v>4.8780487804878099E-2</v>
      </c>
      <c r="J49" s="139">
        <f>J46/I46</f>
        <v>1</v>
      </c>
      <c r="K49" s="140">
        <f>K46/(I46)</f>
        <v>0</v>
      </c>
      <c r="L49" s="141">
        <f>L46/(L46+M46)</f>
        <v>0.58536585365853699</v>
      </c>
      <c r="M49" s="140">
        <f>M46/(L46+M46)</f>
        <v>0.41463414634146301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9"/>
  <sheetViews>
    <sheetView topLeftCell="A23" workbookViewId="0">
      <selection activeCell="F46" sqref="F46"/>
    </sheetView>
  </sheetViews>
  <sheetFormatPr defaultColWidth="9" defaultRowHeight="15"/>
  <cols>
    <col min="1" max="1" width="4.28515625" customWidth="1"/>
    <col min="2" max="2" width="36.28515625" customWidth="1"/>
    <col min="3" max="3" width="12" customWidth="1"/>
    <col min="4" max="4" width="10.7109375" customWidth="1"/>
    <col min="5" max="5" width="13.140625" customWidth="1"/>
    <col min="7" max="7" width="9.28515625" customWidth="1"/>
  </cols>
  <sheetData>
    <row r="1" spans="1:13">
      <c r="A1" s="666" t="s">
        <v>287</v>
      </c>
      <c r="B1" s="666"/>
      <c r="C1" s="666"/>
      <c r="D1" s="666"/>
      <c r="E1" s="666"/>
      <c r="F1" s="666"/>
      <c r="G1" s="1">
        <v>45748</v>
      </c>
      <c r="H1" s="2"/>
      <c r="I1" s="2"/>
      <c r="J1" s="2"/>
      <c r="K1" s="2"/>
      <c r="L1" s="2"/>
      <c r="M1" s="2"/>
    </row>
    <row r="3" spans="1:13">
      <c r="B3" s="443" t="s">
        <v>246</v>
      </c>
    </row>
    <row r="4" spans="1:13" ht="25.5">
      <c r="A4" s="7" t="s">
        <v>1</v>
      </c>
      <c r="B4" s="10" t="s">
        <v>2</v>
      </c>
      <c r="C4" s="7" t="s">
        <v>3</v>
      </c>
      <c r="D4" s="7" t="s">
        <v>4</v>
      </c>
      <c r="E4" s="8" t="s">
        <v>5</v>
      </c>
      <c r="F4" s="9" t="s">
        <v>6</v>
      </c>
      <c r="G4" s="7" t="s">
        <v>7</v>
      </c>
      <c r="H4" s="10" t="s">
        <v>8</v>
      </c>
      <c r="I4" s="10" t="s">
        <v>9</v>
      </c>
      <c r="J4" s="8" t="s">
        <v>10</v>
      </c>
      <c r="K4" s="134" t="s">
        <v>11</v>
      </c>
      <c r="L4" s="135" t="s">
        <v>12</v>
      </c>
      <c r="M4" s="134" t="s">
        <v>13</v>
      </c>
    </row>
    <row r="5" spans="1:13">
      <c r="A5" s="444">
        <v>1</v>
      </c>
      <c r="B5" s="445" t="s">
        <v>168</v>
      </c>
      <c r="C5" s="446" t="s">
        <v>248</v>
      </c>
      <c r="D5" s="312"/>
      <c r="E5" s="312"/>
      <c r="F5" s="136">
        <v>30</v>
      </c>
      <c r="G5" s="136">
        <v>30</v>
      </c>
      <c r="H5" s="364">
        <v>0</v>
      </c>
      <c r="I5" s="136">
        <v>0</v>
      </c>
      <c r="J5" s="136">
        <v>0</v>
      </c>
      <c r="K5" s="136">
        <v>0</v>
      </c>
      <c r="L5" s="463">
        <v>1</v>
      </c>
      <c r="M5" s="464">
        <v>0</v>
      </c>
    </row>
    <row r="6" spans="1:13">
      <c r="A6" s="447">
        <v>2</v>
      </c>
      <c r="B6" s="448" t="s">
        <v>170</v>
      </c>
      <c r="C6" s="449" t="s">
        <v>249</v>
      </c>
      <c r="D6" s="312"/>
      <c r="E6" s="312"/>
      <c r="F6" s="136">
        <v>30</v>
      </c>
      <c r="G6" s="136">
        <v>30</v>
      </c>
      <c r="H6" s="364">
        <v>0</v>
      </c>
      <c r="I6" s="136">
        <v>0</v>
      </c>
      <c r="J6" s="136">
        <v>0</v>
      </c>
      <c r="K6" s="136">
        <v>0</v>
      </c>
      <c r="L6" s="452">
        <v>0</v>
      </c>
      <c r="M6" s="465">
        <v>1</v>
      </c>
    </row>
    <row r="7" spans="1:13">
      <c r="A7" s="307">
        <v>3</v>
      </c>
      <c r="B7" s="275" t="s">
        <v>241</v>
      </c>
      <c r="C7" s="450">
        <v>45713</v>
      </c>
      <c r="D7" s="451"/>
      <c r="E7" s="451"/>
      <c r="F7" s="452">
        <v>30</v>
      </c>
      <c r="G7" s="452">
        <v>30</v>
      </c>
      <c r="H7" s="452">
        <v>0</v>
      </c>
      <c r="I7" s="466">
        <v>0</v>
      </c>
      <c r="J7" s="466">
        <v>0</v>
      </c>
      <c r="K7" s="466">
        <v>0</v>
      </c>
      <c r="L7" s="467">
        <v>1</v>
      </c>
      <c r="M7" s="468">
        <v>0</v>
      </c>
    </row>
    <row r="8" spans="1:13">
      <c r="A8" s="90">
        <v>4</v>
      </c>
      <c r="B8" s="86" t="s">
        <v>262</v>
      </c>
      <c r="C8" s="89">
        <v>45715</v>
      </c>
      <c r="D8" s="335" t="s">
        <v>288</v>
      </c>
      <c r="E8" s="52" t="s">
        <v>250</v>
      </c>
      <c r="F8" s="336">
        <v>25</v>
      </c>
      <c r="G8" s="336">
        <v>24</v>
      </c>
      <c r="H8" s="336">
        <v>1</v>
      </c>
      <c r="I8" s="405">
        <v>0</v>
      </c>
      <c r="J8" s="405">
        <v>0</v>
      </c>
      <c r="K8" s="405">
        <v>0</v>
      </c>
      <c r="L8" s="406">
        <v>0</v>
      </c>
      <c r="M8" s="407">
        <v>1</v>
      </c>
    </row>
    <row r="9" spans="1:13">
      <c r="A9" s="307">
        <v>5</v>
      </c>
      <c r="B9" s="453" t="s">
        <v>264</v>
      </c>
      <c r="C9" s="454">
        <v>45720</v>
      </c>
      <c r="D9" s="339"/>
      <c r="E9" s="339"/>
      <c r="F9" s="408">
        <v>30</v>
      </c>
      <c r="G9" s="408">
        <v>30</v>
      </c>
      <c r="H9" s="341">
        <v>0</v>
      </c>
      <c r="I9" s="408">
        <v>0</v>
      </c>
      <c r="J9" s="408">
        <v>0</v>
      </c>
      <c r="K9" s="408">
        <v>0</v>
      </c>
      <c r="L9" s="408">
        <v>0</v>
      </c>
      <c r="M9" s="409">
        <v>1</v>
      </c>
    </row>
    <row r="10" spans="1:13">
      <c r="A10" s="41">
        <v>6</v>
      </c>
      <c r="B10" s="455" t="s">
        <v>267</v>
      </c>
      <c r="C10" s="456">
        <v>45723</v>
      </c>
      <c r="D10" s="457">
        <v>45762</v>
      </c>
      <c r="E10" s="46" t="s">
        <v>17</v>
      </c>
      <c r="F10" s="297">
        <v>15</v>
      </c>
      <c r="G10" s="297">
        <v>15</v>
      </c>
      <c r="H10" s="458">
        <v>1</v>
      </c>
      <c r="I10" s="297">
        <v>1</v>
      </c>
      <c r="J10" s="297">
        <v>1</v>
      </c>
      <c r="K10" s="297">
        <v>0</v>
      </c>
      <c r="L10" s="297">
        <v>0</v>
      </c>
      <c r="M10" s="47">
        <v>1</v>
      </c>
    </row>
    <row r="11" spans="1:13">
      <c r="A11" s="211">
        <v>7</v>
      </c>
      <c r="B11" s="86" t="s">
        <v>270</v>
      </c>
      <c r="C11" s="79">
        <v>45728</v>
      </c>
      <c r="D11" s="431">
        <v>45765</v>
      </c>
      <c r="E11" s="52" t="s">
        <v>250</v>
      </c>
      <c r="F11" s="432">
        <v>18</v>
      </c>
      <c r="G11" s="432">
        <v>18</v>
      </c>
      <c r="H11" s="433">
        <v>1</v>
      </c>
      <c r="I11" s="432">
        <v>0</v>
      </c>
      <c r="J11" s="432">
        <v>0</v>
      </c>
      <c r="K11" s="432">
        <v>0</v>
      </c>
      <c r="L11" s="432">
        <v>0</v>
      </c>
      <c r="M11" s="53">
        <v>1</v>
      </c>
    </row>
    <row r="12" spans="1:13">
      <c r="A12" s="307">
        <v>8</v>
      </c>
      <c r="B12" s="453" t="s">
        <v>273</v>
      </c>
      <c r="C12" s="454">
        <v>45732</v>
      </c>
      <c r="D12" s="26"/>
      <c r="E12" s="26"/>
      <c r="F12" s="27">
        <v>30</v>
      </c>
      <c r="G12" s="27">
        <v>30</v>
      </c>
      <c r="H12" s="358">
        <v>0</v>
      </c>
      <c r="I12" s="27">
        <v>0</v>
      </c>
      <c r="J12" s="27"/>
      <c r="K12" s="27">
        <v>0</v>
      </c>
      <c r="L12" s="408">
        <v>1</v>
      </c>
      <c r="M12" s="409">
        <v>0</v>
      </c>
    </row>
    <row r="13" spans="1:13">
      <c r="A13" s="85">
        <v>9</v>
      </c>
      <c r="B13" s="311" t="s">
        <v>276</v>
      </c>
      <c r="C13" s="150">
        <v>45736</v>
      </c>
      <c r="D13" s="434">
        <v>45749</v>
      </c>
      <c r="E13" s="21" t="s">
        <v>36</v>
      </c>
      <c r="F13" s="435">
        <v>2</v>
      </c>
      <c r="G13" s="435">
        <v>2</v>
      </c>
      <c r="H13" s="436">
        <v>1</v>
      </c>
      <c r="I13" s="435">
        <v>0</v>
      </c>
      <c r="J13" s="435">
        <v>0</v>
      </c>
      <c r="K13" s="435">
        <v>0</v>
      </c>
      <c r="L13" s="435">
        <v>0</v>
      </c>
      <c r="M13" s="31">
        <v>1</v>
      </c>
    </row>
    <row r="14" spans="1:13">
      <c r="A14" s="90">
        <v>10</v>
      </c>
      <c r="B14" s="429" t="s">
        <v>277</v>
      </c>
      <c r="C14" s="430">
        <v>45739</v>
      </c>
      <c r="D14" s="431">
        <v>45756</v>
      </c>
      <c r="E14" s="52" t="s">
        <v>250</v>
      </c>
      <c r="F14" s="432">
        <v>9</v>
      </c>
      <c r="G14" s="432">
        <v>8</v>
      </c>
      <c r="H14" s="433">
        <v>1</v>
      </c>
      <c r="I14" s="432">
        <v>0</v>
      </c>
      <c r="J14" s="432">
        <v>0</v>
      </c>
      <c r="K14" s="432">
        <v>0</v>
      </c>
      <c r="L14" s="432">
        <v>1</v>
      </c>
      <c r="M14" s="53">
        <v>0</v>
      </c>
    </row>
    <row r="15" spans="1:13">
      <c r="A15" s="90">
        <v>11</v>
      </c>
      <c r="B15" s="429" t="s">
        <v>279</v>
      </c>
      <c r="C15" s="430">
        <v>45739</v>
      </c>
      <c r="D15" s="431">
        <v>45753</v>
      </c>
      <c r="E15" s="52" t="s">
        <v>250</v>
      </c>
      <c r="F15" s="432">
        <v>6</v>
      </c>
      <c r="G15" s="432">
        <v>5</v>
      </c>
      <c r="H15" s="433">
        <v>1</v>
      </c>
      <c r="I15" s="432">
        <v>0</v>
      </c>
      <c r="J15" s="432">
        <v>0</v>
      </c>
      <c r="K15" s="432">
        <v>0</v>
      </c>
      <c r="L15" s="432">
        <v>1</v>
      </c>
      <c r="M15" s="53">
        <v>0</v>
      </c>
    </row>
    <row r="16" spans="1:13">
      <c r="A16" s="85">
        <v>12</v>
      </c>
      <c r="B16" s="459" t="s">
        <v>280</v>
      </c>
      <c r="C16" s="55">
        <v>45739</v>
      </c>
      <c r="D16" s="434">
        <v>45749</v>
      </c>
      <c r="E16" s="21" t="s">
        <v>36</v>
      </c>
      <c r="F16" s="435">
        <v>2</v>
      </c>
      <c r="G16" s="435">
        <v>2</v>
      </c>
      <c r="H16" s="436">
        <v>1</v>
      </c>
      <c r="I16" s="435">
        <v>0</v>
      </c>
      <c r="J16" s="435">
        <v>0</v>
      </c>
      <c r="K16" s="435">
        <v>0</v>
      </c>
      <c r="L16" s="435">
        <v>0</v>
      </c>
      <c r="M16" s="31">
        <v>1</v>
      </c>
    </row>
    <row r="17" spans="1:14">
      <c r="A17" s="85">
        <v>13</v>
      </c>
      <c r="B17" s="311" t="s">
        <v>281</v>
      </c>
      <c r="C17" s="150">
        <v>45740</v>
      </c>
      <c r="D17" s="434">
        <v>45754</v>
      </c>
      <c r="E17" s="21" t="s">
        <v>36</v>
      </c>
      <c r="F17" s="435">
        <v>7</v>
      </c>
      <c r="G17" s="435">
        <v>7</v>
      </c>
      <c r="H17" s="436">
        <v>1</v>
      </c>
      <c r="I17" s="435">
        <v>0</v>
      </c>
      <c r="J17" s="435">
        <v>0</v>
      </c>
      <c r="K17" s="435">
        <v>0</v>
      </c>
      <c r="L17" s="435">
        <v>0</v>
      </c>
      <c r="M17" s="31">
        <v>1</v>
      </c>
    </row>
    <row r="18" spans="1:14">
      <c r="A18" s="85">
        <v>14</v>
      </c>
      <c r="B18" s="311" t="s">
        <v>289</v>
      </c>
      <c r="C18" s="150">
        <v>45743</v>
      </c>
      <c r="D18" s="434">
        <v>45763</v>
      </c>
      <c r="E18" s="21" t="s">
        <v>36</v>
      </c>
      <c r="F18" s="435">
        <v>16</v>
      </c>
      <c r="G18" s="435">
        <v>16</v>
      </c>
      <c r="H18" s="436">
        <v>1</v>
      </c>
      <c r="I18" s="435">
        <v>0</v>
      </c>
      <c r="J18" s="435">
        <v>0</v>
      </c>
      <c r="K18" s="435">
        <v>0</v>
      </c>
      <c r="L18" s="435">
        <v>0</v>
      </c>
      <c r="M18" s="31">
        <v>1</v>
      </c>
    </row>
    <row r="19" spans="1:14">
      <c r="A19" s="90">
        <v>15</v>
      </c>
      <c r="B19" s="429" t="s">
        <v>290</v>
      </c>
      <c r="C19" s="430">
        <v>45744</v>
      </c>
      <c r="D19" s="431">
        <v>45759</v>
      </c>
      <c r="E19" s="52" t="s">
        <v>250</v>
      </c>
      <c r="F19" s="432">
        <v>12</v>
      </c>
      <c r="G19" s="432">
        <v>11</v>
      </c>
      <c r="H19" s="433">
        <v>1</v>
      </c>
      <c r="I19" s="432">
        <v>0</v>
      </c>
      <c r="J19" s="432">
        <v>0</v>
      </c>
      <c r="K19" s="432">
        <v>0</v>
      </c>
      <c r="L19" s="432">
        <v>1</v>
      </c>
      <c r="M19" s="53">
        <v>0</v>
      </c>
    </row>
    <row r="20" spans="1:14">
      <c r="A20" s="41">
        <v>16</v>
      </c>
      <c r="B20" s="455" t="s">
        <v>284</v>
      </c>
      <c r="C20" s="456">
        <v>45745</v>
      </c>
      <c r="D20" s="457">
        <v>45750</v>
      </c>
      <c r="E20" s="46" t="s">
        <v>17</v>
      </c>
      <c r="F20" s="297">
        <v>3</v>
      </c>
      <c r="G20" s="297">
        <v>3</v>
      </c>
      <c r="H20" s="458">
        <v>1</v>
      </c>
      <c r="I20" s="297">
        <v>1</v>
      </c>
      <c r="J20" s="297">
        <v>1</v>
      </c>
      <c r="K20" s="297">
        <v>0</v>
      </c>
      <c r="L20" s="297">
        <v>1</v>
      </c>
      <c r="M20" s="47">
        <v>0</v>
      </c>
    </row>
    <row r="21" spans="1:14">
      <c r="A21" s="307">
        <v>17</v>
      </c>
      <c r="B21" s="453" t="s">
        <v>291</v>
      </c>
      <c r="C21" s="454">
        <v>45747</v>
      </c>
      <c r="D21" s="339"/>
      <c r="E21" s="339"/>
      <c r="F21" s="408">
        <v>30</v>
      </c>
      <c r="G21" s="408">
        <v>30</v>
      </c>
      <c r="H21" s="341">
        <v>0</v>
      </c>
      <c r="I21" s="408">
        <v>0</v>
      </c>
      <c r="J21" s="408">
        <v>0</v>
      </c>
      <c r="K21" s="408">
        <v>0</v>
      </c>
      <c r="L21" s="408">
        <v>1</v>
      </c>
      <c r="M21" s="409">
        <v>0</v>
      </c>
    </row>
    <row r="22" spans="1:14">
      <c r="A22" s="85">
        <v>18</v>
      </c>
      <c r="B22" s="460" t="s">
        <v>292</v>
      </c>
      <c r="C22" s="150">
        <v>45747</v>
      </c>
      <c r="D22" s="434">
        <v>45769</v>
      </c>
      <c r="E22" s="21" t="s">
        <v>36</v>
      </c>
      <c r="F22" s="435">
        <v>22</v>
      </c>
      <c r="G22" s="435">
        <v>22</v>
      </c>
      <c r="H22" s="436">
        <v>1</v>
      </c>
      <c r="I22" s="435">
        <v>0</v>
      </c>
      <c r="J22" s="435">
        <v>0</v>
      </c>
      <c r="K22" s="435">
        <v>0</v>
      </c>
      <c r="L22" s="435">
        <v>1</v>
      </c>
      <c r="M22" s="31">
        <v>0</v>
      </c>
    </row>
    <row r="23" spans="1:14">
      <c r="A23" s="26">
        <v>19</v>
      </c>
      <c r="B23" s="461" t="s">
        <v>293</v>
      </c>
      <c r="C23" s="437">
        <v>45750</v>
      </c>
      <c r="D23" s="26"/>
      <c r="E23" s="26"/>
      <c r="F23" s="27">
        <v>28</v>
      </c>
      <c r="G23" s="27">
        <v>28</v>
      </c>
      <c r="H23" s="358">
        <v>0</v>
      </c>
      <c r="I23" s="27">
        <v>0</v>
      </c>
      <c r="J23" s="27">
        <v>0</v>
      </c>
      <c r="K23" s="27">
        <v>0</v>
      </c>
      <c r="L23" s="27">
        <v>0</v>
      </c>
      <c r="M23" s="27">
        <v>1</v>
      </c>
    </row>
    <row r="24" spans="1:14">
      <c r="A24" s="125">
        <v>20</v>
      </c>
      <c r="B24" s="28" t="s">
        <v>294</v>
      </c>
      <c r="C24" s="151">
        <v>45749</v>
      </c>
      <c r="D24" s="20">
        <v>45756</v>
      </c>
      <c r="E24" s="21" t="s">
        <v>36</v>
      </c>
      <c r="F24" s="22">
        <v>8</v>
      </c>
      <c r="G24" s="22">
        <v>8</v>
      </c>
      <c r="H24" s="332">
        <v>1</v>
      </c>
      <c r="I24" s="22">
        <v>0</v>
      </c>
      <c r="J24" s="22">
        <v>0</v>
      </c>
      <c r="K24" s="22">
        <v>0</v>
      </c>
      <c r="L24" s="22">
        <v>1</v>
      </c>
      <c r="M24" s="22">
        <v>0</v>
      </c>
    </row>
    <row r="25" spans="1:14">
      <c r="A25" s="251">
        <v>21</v>
      </c>
      <c r="B25" s="37" t="s">
        <v>295</v>
      </c>
      <c r="C25" s="39">
        <v>45749</v>
      </c>
      <c r="D25" s="65">
        <v>45761</v>
      </c>
      <c r="E25" s="46" t="s">
        <v>17</v>
      </c>
      <c r="F25" s="47">
        <v>13</v>
      </c>
      <c r="G25" s="47">
        <v>13</v>
      </c>
      <c r="H25" s="462">
        <v>1</v>
      </c>
      <c r="I25" s="47">
        <v>1</v>
      </c>
      <c r="J25" s="47">
        <v>1</v>
      </c>
      <c r="K25" s="47">
        <v>0</v>
      </c>
      <c r="L25" s="47">
        <v>0</v>
      </c>
      <c r="M25" s="47">
        <v>1</v>
      </c>
      <c r="N25" s="108"/>
    </row>
    <row r="26" spans="1:14">
      <c r="A26" s="26">
        <v>22</v>
      </c>
      <c r="B26" s="127" t="s">
        <v>296</v>
      </c>
      <c r="C26" s="437">
        <v>45748</v>
      </c>
      <c r="D26" s="26"/>
      <c r="E26" s="26"/>
      <c r="F26" s="27">
        <v>29</v>
      </c>
      <c r="G26" s="27">
        <v>29</v>
      </c>
      <c r="H26" s="358">
        <v>0</v>
      </c>
      <c r="I26" s="27">
        <v>0</v>
      </c>
      <c r="J26" s="27">
        <v>0</v>
      </c>
      <c r="K26" s="27">
        <v>0</v>
      </c>
      <c r="L26" s="27">
        <v>1</v>
      </c>
      <c r="M26" s="27">
        <v>0</v>
      </c>
    </row>
    <row r="27" spans="1:14">
      <c r="A27" s="33">
        <v>23</v>
      </c>
      <c r="B27" s="127" t="s">
        <v>297</v>
      </c>
      <c r="C27" s="152">
        <v>45752</v>
      </c>
      <c r="D27" s="26"/>
      <c r="E27" s="26"/>
      <c r="F27" s="27">
        <v>26</v>
      </c>
      <c r="G27" s="27">
        <v>26</v>
      </c>
      <c r="H27" s="358">
        <v>0</v>
      </c>
      <c r="I27" s="27">
        <v>0</v>
      </c>
      <c r="J27" s="27">
        <v>0</v>
      </c>
      <c r="K27" s="27">
        <v>0</v>
      </c>
      <c r="L27" s="27">
        <v>1</v>
      </c>
      <c r="M27" s="27">
        <v>0</v>
      </c>
    </row>
    <row r="28" spans="1:14">
      <c r="A28" s="67">
        <v>24</v>
      </c>
      <c r="B28" s="86" t="s">
        <v>298</v>
      </c>
      <c r="C28" s="51">
        <v>45756</v>
      </c>
      <c r="D28" s="176">
        <v>45777</v>
      </c>
      <c r="E28" s="52" t="s">
        <v>250</v>
      </c>
      <c r="F28" s="192">
        <v>12</v>
      </c>
      <c r="G28" s="192">
        <v>11</v>
      </c>
      <c r="H28" s="351">
        <v>1</v>
      </c>
      <c r="I28" s="192">
        <v>0</v>
      </c>
      <c r="J28" s="192">
        <v>0</v>
      </c>
      <c r="K28" s="192">
        <v>0</v>
      </c>
      <c r="L28" s="192"/>
      <c r="M28" s="192"/>
    </row>
    <row r="29" spans="1:14">
      <c r="A29" s="33">
        <v>25</v>
      </c>
      <c r="B29" s="127" t="s">
        <v>299</v>
      </c>
      <c r="C29" s="152">
        <v>45758</v>
      </c>
      <c r="D29" s="26"/>
      <c r="E29" s="26"/>
      <c r="F29" s="27">
        <v>20</v>
      </c>
      <c r="G29" s="27">
        <v>20</v>
      </c>
      <c r="H29" s="358">
        <v>0</v>
      </c>
      <c r="I29" s="27">
        <v>0</v>
      </c>
      <c r="J29" s="27">
        <v>0</v>
      </c>
      <c r="K29" s="27">
        <v>0</v>
      </c>
      <c r="L29" s="27">
        <v>0</v>
      </c>
      <c r="M29" s="27">
        <v>1</v>
      </c>
    </row>
    <row r="30" spans="1:14">
      <c r="A30" s="33">
        <v>26</v>
      </c>
      <c r="B30" s="127" t="s">
        <v>300</v>
      </c>
      <c r="C30" s="152">
        <v>45759</v>
      </c>
      <c r="D30" s="26"/>
      <c r="E30" s="26"/>
      <c r="F30" s="27">
        <v>19</v>
      </c>
      <c r="G30" s="27">
        <v>19</v>
      </c>
      <c r="H30" s="358">
        <v>0</v>
      </c>
      <c r="I30" s="27">
        <v>0</v>
      </c>
      <c r="J30" s="27">
        <v>0</v>
      </c>
      <c r="K30" s="27">
        <v>0</v>
      </c>
      <c r="L30" s="27">
        <v>0</v>
      </c>
      <c r="M30" s="27">
        <v>1</v>
      </c>
    </row>
    <row r="31" spans="1:14">
      <c r="A31" s="197">
        <v>27</v>
      </c>
      <c r="B31" s="86" t="s">
        <v>301</v>
      </c>
      <c r="C31" s="68">
        <v>45763</v>
      </c>
      <c r="D31" s="176">
        <v>45764</v>
      </c>
      <c r="E31" s="52" t="s">
        <v>250</v>
      </c>
      <c r="F31" s="192">
        <v>1</v>
      </c>
      <c r="G31" s="192">
        <v>0</v>
      </c>
      <c r="H31" s="351">
        <v>1</v>
      </c>
      <c r="I31" s="192">
        <v>0</v>
      </c>
      <c r="J31" s="192">
        <v>0</v>
      </c>
      <c r="K31" s="192">
        <v>0</v>
      </c>
      <c r="L31" s="192">
        <v>0</v>
      </c>
      <c r="M31" s="192">
        <v>1</v>
      </c>
    </row>
    <row r="32" spans="1:14">
      <c r="A32" s="197">
        <v>28</v>
      </c>
      <c r="B32" s="86" t="s">
        <v>302</v>
      </c>
      <c r="C32" s="68">
        <v>45764</v>
      </c>
      <c r="D32" s="176">
        <v>45800</v>
      </c>
      <c r="E32" s="52" t="s">
        <v>250</v>
      </c>
      <c r="F32" s="192">
        <v>7</v>
      </c>
      <c r="G32" s="192">
        <v>6</v>
      </c>
      <c r="H32" s="351">
        <v>1</v>
      </c>
      <c r="I32" s="192">
        <v>0</v>
      </c>
      <c r="J32" s="192">
        <v>0</v>
      </c>
      <c r="K32" s="192">
        <v>0</v>
      </c>
      <c r="L32" s="192">
        <v>1</v>
      </c>
      <c r="M32" s="192">
        <v>0</v>
      </c>
    </row>
    <row r="33" spans="1:13">
      <c r="A33" s="119">
        <v>29</v>
      </c>
      <c r="B33" s="18" t="s">
        <v>303</v>
      </c>
      <c r="C33" s="30">
        <v>45763</v>
      </c>
      <c r="D33" s="303">
        <v>45766</v>
      </c>
      <c r="E33" s="129" t="s">
        <v>36</v>
      </c>
      <c r="F33" s="237">
        <v>4</v>
      </c>
      <c r="G33" s="237">
        <v>4</v>
      </c>
      <c r="H33" s="383">
        <v>1</v>
      </c>
      <c r="I33" s="237">
        <v>0</v>
      </c>
      <c r="J33" s="237">
        <v>0</v>
      </c>
      <c r="K33" s="237">
        <v>0</v>
      </c>
      <c r="L33" s="237">
        <v>1</v>
      </c>
      <c r="M33" s="237">
        <v>0</v>
      </c>
    </row>
    <row r="34" spans="1:13">
      <c r="A34" s="251">
        <v>30</v>
      </c>
      <c r="B34" s="43" t="s">
        <v>304</v>
      </c>
      <c r="C34" s="44">
        <v>45764</v>
      </c>
      <c r="D34" s="162">
        <v>45767</v>
      </c>
      <c r="E34" s="46" t="s">
        <v>17</v>
      </c>
      <c r="F34" s="72">
        <v>4</v>
      </c>
      <c r="G34" s="72">
        <v>4</v>
      </c>
      <c r="H34" s="72">
        <v>1</v>
      </c>
      <c r="I34" s="72">
        <v>1</v>
      </c>
      <c r="J34" s="72">
        <v>1</v>
      </c>
      <c r="K34" s="72">
        <v>0</v>
      </c>
      <c r="L34" s="72">
        <v>1</v>
      </c>
      <c r="M34" s="72">
        <v>0</v>
      </c>
    </row>
    <row r="35" spans="1:13">
      <c r="A35" s="26">
        <v>31</v>
      </c>
      <c r="B35" s="127" t="s">
        <v>305</v>
      </c>
      <c r="C35" s="32">
        <v>45765</v>
      </c>
      <c r="D35" s="26"/>
      <c r="E35" s="26"/>
      <c r="F35" s="27">
        <v>13</v>
      </c>
      <c r="G35" s="27">
        <v>13</v>
      </c>
      <c r="H35" s="27">
        <v>0</v>
      </c>
      <c r="I35" s="27">
        <v>0</v>
      </c>
      <c r="J35" s="27">
        <v>0</v>
      </c>
      <c r="K35" s="27">
        <v>0</v>
      </c>
      <c r="L35" s="27">
        <v>1</v>
      </c>
      <c r="M35" s="27">
        <v>0</v>
      </c>
    </row>
    <row r="36" spans="1:13">
      <c r="A36" s="251">
        <v>32</v>
      </c>
      <c r="B36" s="43" t="s">
        <v>306</v>
      </c>
      <c r="C36" s="44">
        <v>45766</v>
      </c>
      <c r="D36" s="162">
        <v>45768</v>
      </c>
      <c r="E36" s="46" t="s">
        <v>17</v>
      </c>
      <c r="F36" s="72">
        <v>3</v>
      </c>
      <c r="G36" s="72">
        <v>3</v>
      </c>
      <c r="H36" s="72">
        <v>1</v>
      </c>
      <c r="I36" s="72">
        <v>1</v>
      </c>
      <c r="J36" s="72">
        <v>1</v>
      </c>
      <c r="K36" s="72">
        <v>0</v>
      </c>
      <c r="L36" s="72">
        <v>0</v>
      </c>
      <c r="M36" s="72">
        <v>1</v>
      </c>
    </row>
    <row r="37" spans="1:13">
      <c r="A37" s="268">
        <v>33</v>
      </c>
      <c r="B37" s="86" t="s">
        <v>307</v>
      </c>
      <c r="C37" s="50">
        <v>45402</v>
      </c>
      <c r="D37" s="176">
        <v>45777</v>
      </c>
      <c r="E37" s="52" t="s">
        <v>250</v>
      </c>
      <c r="F37" s="192">
        <v>11</v>
      </c>
      <c r="G37" s="192">
        <v>10</v>
      </c>
      <c r="H37" s="192">
        <v>1</v>
      </c>
      <c r="I37" s="192">
        <v>0</v>
      </c>
      <c r="J37" s="192">
        <v>0</v>
      </c>
      <c r="K37" s="192">
        <v>0</v>
      </c>
      <c r="L37" s="192">
        <v>1</v>
      </c>
      <c r="M37" s="192">
        <v>0</v>
      </c>
    </row>
    <row r="38" spans="1:13">
      <c r="A38" s="268">
        <v>34</v>
      </c>
      <c r="B38" s="86" t="s">
        <v>301</v>
      </c>
      <c r="C38" s="50">
        <v>45769</v>
      </c>
      <c r="D38" s="176">
        <v>45774</v>
      </c>
      <c r="E38" s="52" t="s">
        <v>250</v>
      </c>
      <c r="F38" s="192">
        <v>6</v>
      </c>
      <c r="G38" s="192">
        <v>5</v>
      </c>
      <c r="H38" s="192">
        <v>1</v>
      </c>
      <c r="I38" s="192">
        <v>0</v>
      </c>
      <c r="J38" s="192">
        <v>0</v>
      </c>
      <c r="K38" s="192">
        <v>0</v>
      </c>
      <c r="L38" s="192">
        <v>0</v>
      </c>
      <c r="M38" s="192">
        <v>1</v>
      </c>
    </row>
    <row r="39" spans="1:13">
      <c r="A39" s="26">
        <v>35</v>
      </c>
      <c r="B39" s="127" t="s">
        <v>308</v>
      </c>
      <c r="C39" s="32">
        <v>45769</v>
      </c>
      <c r="D39" s="26"/>
      <c r="E39" s="26"/>
      <c r="F39" s="27">
        <v>8</v>
      </c>
      <c r="G39" s="27">
        <v>8</v>
      </c>
      <c r="H39" s="27">
        <v>0</v>
      </c>
      <c r="I39" s="27">
        <v>0</v>
      </c>
      <c r="J39" s="27">
        <v>0</v>
      </c>
      <c r="K39" s="27">
        <v>0</v>
      </c>
      <c r="L39" s="27">
        <v>1</v>
      </c>
      <c r="M39" s="27">
        <v>0</v>
      </c>
    </row>
    <row r="40" spans="1:13">
      <c r="A40" s="26">
        <v>36</v>
      </c>
      <c r="B40" s="127" t="s">
        <v>309</v>
      </c>
      <c r="C40" s="32">
        <v>45770</v>
      </c>
      <c r="D40" s="26"/>
      <c r="E40" s="26"/>
      <c r="F40" s="27">
        <v>7</v>
      </c>
      <c r="G40" s="27">
        <v>7</v>
      </c>
      <c r="H40" s="27">
        <v>0</v>
      </c>
      <c r="I40" s="27">
        <v>0</v>
      </c>
      <c r="J40" s="27">
        <v>0</v>
      </c>
      <c r="K40" s="27">
        <v>0</v>
      </c>
      <c r="L40" s="27">
        <v>1</v>
      </c>
      <c r="M40" s="27">
        <v>0</v>
      </c>
    </row>
    <row r="41" spans="1:13">
      <c r="A41" s="268">
        <v>37</v>
      </c>
      <c r="B41" s="67" t="s">
        <v>310</v>
      </c>
      <c r="C41" s="50">
        <v>45772</v>
      </c>
      <c r="D41" s="176">
        <v>45775</v>
      </c>
      <c r="E41" s="52" t="s">
        <v>250</v>
      </c>
      <c r="F41" s="192">
        <v>4</v>
      </c>
      <c r="G41" s="192">
        <v>3</v>
      </c>
      <c r="H41" s="192">
        <v>1</v>
      </c>
      <c r="I41" s="192">
        <v>0</v>
      </c>
      <c r="J41" s="192">
        <v>0</v>
      </c>
      <c r="K41" s="192">
        <v>0</v>
      </c>
      <c r="L41" s="192">
        <v>1</v>
      </c>
      <c r="M41" s="192">
        <v>0</v>
      </c>
    </row>
    <row r="42" spans="1:13">
      <c r="A42" s="26">
        <v>38</v>
      </c>
      <c r="B42" s="127" t="s">
        <v>311</v>
      </c>
      <c r="C42" s="32">
        <v>45774</v>
      </c>
      <c r="D42" s="26"/>
      <c r="E42" s="26"/>
      <c r="F42" s="27">
        <v>4</v>
      </c>
      <c r="G42" s="27">
        <v>4</v>
      </c>
      <c r="H42" s="27">
        <v>0</v>
      </c>
      <c r="I42" s="27">
        <v>0</v>
      </c>
      <c r="J42" s="27">
        <v>0</v>
      </c>
      <c r="K42" s="27">
        <v>0</v>
      </c>
      <c r="L42" s="27">
        <v>1</v>
      </c>
      <c r="M42" s="27">
        <v>0</v>
      </c>
    </row>
    <row r="43" spans="1:13">
      <c r="A43" s="26">
        <v>39</v>
      </c>
      <c r="B43" s="127" t="s">
        <v>312</v>
      </c>
      <c r="C43" s="32">
        <v>45776</v>
      </c>
      <c r="D43" s="26"/>
      <c r="E43" s="26"/>
      <c r="F43" s="27">
        <v>2</v>
      </c>
      <c r="G43" s="27">
        <v>2</v>
      </c>
      <c r="H43" s="27">
        <v>0</v>
      </c>
      <c r="I43" s="27">
        <v>0</v>
      </c>
      <c r="J43" s="27">
        <v>0</v>
      </c>
      <c r="K43" s="27">
        <v>0</v>
      </c>
      <c r="L43" s="27">
        <v>1</v>
      </c>
      <c r="M43" s="27">
        <v>0</v>
      </c>
    </row>
    <row r="44" spans="1:13">
      <c r="A44" s="26">
        <v>40</v>
      </c>
      <c r="B44" s="127" t="s">
        <v>313</v>
      </c>
      <c r="C44" s="32">
        <v>45777</v>
      </c>
      <c r="D44" s="26"/>
      <c r="E44" s="26"/>
      <c r="F44" s="27">
        <v>1</v>
      </c>
      <c r="G44" s="27">
        <v>1</v>
      </c>
      <c r="H44" s="27">
        <v>0</v>
      </c>
      <c r="I44" s="27">
        <v>0</v>
      </c>
      <c r="J44" s="27">
        <v>0</v>
      </c>
      <c r="K44" s="27">
        <v>0</v>
      </c>
      <c r="L44" s="27">
        <v>1</v>
      </c>
      <c r="M44" s="27">
        <v>0</v>
      </c>
    </row>
    <row r="45" spans="1:13">
      <c r="A45" s="26">
        <v>41</v>
      </c>
      <c r="B45" s="127" t="s">
        <v>314</v>
      </c>
      <c r="C45" s="32">
        <v>45777</v>
      </c>
      <c r="D45" s="26"/>
      <c r="E45" s="26"/>
      <c r="F45" s="27">
        <v>1</v>
      </c>
      <c r="G45" s="27">
        <v>1</v>
      </c>
      <c r="H45" s="27">
        <v>0</v>
      </c>
      <c r="I45" s="27">
        <v>0</v>
      </c>
      <c r="J45" s="27">
        <v>0</v>
      </c>
      <c r="K45" s="27">
        <v>0</v>
      </c>
      <c r="L45" s="27">
        <v>1</v>
      </c>
      <c r="M45" s="27">
        <v>0</v>
      </c>
    </row>
    <row r="46" spans="1:13">
      <c r="A46" s="103"/>
      <c r="B46" s="104"/>
      <c r="C46" s="104"/>
      <c r="D46" s="104"/>
      <c r="E46" s="105"/>
      <c r="F46" s="196">
        <v>548</v>
      </c>
      <c r="G46" s="153">
        <v>538</v>
      </c>
      <c r="H46" s="107">
        <v>23</v>
      </c>
      <c r="I46" s="153">
        <v>5</v>
      </c>
      <c r="J46" s="153">
        <v>5</v>
      </c>
      <c r="K46" s="153">
        <v>0</v>
      </c>
      <c r="L46" s="153">
        <v>24</v>
      </c>
      <c r="M46" s="153">
        <v>16</v>
      </c>
    </row>
    <row r="47" spans="1:13">
      <c r="A47" s="108"/>
      <c r="B47" s="147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54"/>
    </row>
    <row r="48" spans="1:13" ht="38.25">
      <c r="A48" s="111"/>
      <c r="B48" s="148"/>
      <c r="C48" s="112" t="s">
        <v>91</v>
      </c>
      <c r="D48" s="113" t="s">
        <v>92</v>
      </c>
      <c r="E48" s="112" t="s">
        <v>93</v>
      </c>
      <c r="F48" s="113" t="s">
        <v>94</v>
      </c>
      <c r="G48" s="113" t="s">
        <v>95</v>
      </c>
      <c r="H48" s="113" t="s">
        <v>96</v>
      </c>
      <c r="I48" s="113" t="s">
        <v>97</v>
      </c>
      <c r="J48" s="113" t="s">
        <v>98</v>
      </c>
      <c r="K48" s="112" t="s">
        <v>99</v>
      </c>
      <c r="L48" s="138" t="s">
        <v>100</v>
      </c>
      <c r="M48" s="112" t="s">
        <v>101</v>
      </c>
    </row>
    <row r="49" spans="1:13">
      <c r="A49" s="111"/>
      <c r="B49" s="114"/>
      <c r="C49" s="115">
        <v>18</v>
      </c>
      <c r="D49" s="115">
        <v>30</v>
      </c>
      <c r="E49" s="115">
        <v>540</v>
      </c>
      <c r="F49" s="116">
        <f>F46</f>
        <v>548</v>
      </c>
      <c r="G49" s="117">
        <f>F49/E49</f>
        <v>1.01481481481481</v>
      </c>
      <c r="H49" s="118">
        <f>F46/H46</f>
        <v>23.826086956521699</v>
      </c>
      <c r="I49" s="139">
        <f>I46/(L46+M46)</f>
        <v>0.125</v>
      </c>
      <c r="J49" s="139">
        <f>J46/I46</f>
        <v>1</v>
      </c>
      <c r="K49" s="140">
        <f>K46/(I46)</f>
        <v>0</v>
      </c>
      <c r="L49" s="141">
        <f>L46/(L46+M46)</f>
        <v>0.6</v>
      </c>
      <c r="M49" s="140">
        <f>M46/(L46+M46)</f>
        <v>0.4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>
  <dimension ref="A1:M97"/>
  <sheetViews>
    <sheetView topLeftCell="A13" zoomScale="104" zoomScaleNormal="104" workbookViewId="0">
      <selection activeCell="C43" sqref="C43"/>
    </sheetView>
  </sheetViews>
  <sheetFormatPr defaultColWidth="9" defaultRowHeight="15"/>
  <cols>
    <col min="1" max="1" width="3.5703125" customWidth="1"/>
    <col min="2" max="2" width="38.85546875" customWidth="1"/>
    <col min="3" max="3" width="12.85546875" customWidth="1"/>
    <col min="4" max="4" width="12.140625" customWidth="1"/>
    <col min="5" max="5" width="14.42578125" customWidth="1"/>
    <col min="7" max="7" width="10" customWidth="1"/>
  </cols>
  <sheetData>
    <row r="1" spans="1:13">
      <c r="A1" s="666" t="s">
        <v>315</v>
      </c>
      <c r="B1" s="666"/>
      <c r="C1" s="666"/>
      <c r="D1" s="666"/>
      <c r="E1" s="666"/>
      <c r="F1" s="666"/>
      <c r="G1" s="1">
        <v>45778</v>
      </c>
      <c r="H1" s="2"/>
      <c r="I1" s="2"/>
      <c r="J1" s="2"/>
      <c r="K1" s="2"/>
      <c r="L1" s="2"/>
      <c r="M1" s="2"/>
    </row>
    <row r="3" spans="1:13">
      <c r="B3" s="3" t="s">
        <v>246</v>
      </c>
    </row>
    <row r="4" spans="1:13" ht="25.5">
      <c r="A4" s="4" t="s">
        <v>1</v>
      </c>
      <c r="B4" s="10" t="s">
        <v>2</v>
      </c>
      <c r="C4" s="155" t="s">
        <v>3</v>
      </c>
      <c r="D4" s="7" t="s">
        <v>4</v>
      </c>
      <c r="E4" s="8" t="s">
        <v>5</v>
      </c>
      <c r="F4" s="9" t="s">
        <v>6</v>
      </c>
      <c r="G4" s="7" t="s">
        <v>7</v>
      </c>
      <c r="H4" s="10" t="s">
        <v>8</v>
      </c>
      <c r="I4" s="10" t="s">
        <v>9</v>
      </c>
      <c r="J4" s="8" t="s">
        <v>10</v>
      </c>
      <c r="K4" s="134" t="s">
        <v>11</v>
      </c>
      <c r="L4" s="135" t="s">
        <v>12</v>
      </c>
      <c r="M4" s="134" t="s">
        <v>13</v>
      </c>
    </row>
    <row r="5" spans="1:13">
      <c r="A5" s="326">
        <v>1</v>
      </c>
      <c r="B5" s="327" t="s">
        <v>168</v>
      </c>
      <c r="C5" s="328" t="s">
        <v>248</v>
      </c>
      <c r="D5" s="162">
        <v>45787</v>
      </c>
      <c r="E5" s="46" t="s">
        <v>17</v>
      </c>
      <c r="F5" s="72">
        <v>10</v>
      </c>
      <c r="G5" s="72">
        <v>10</v>
      </c>
      <c r="H5" s="299">
        <v>1</v>
      </c>
      <c r="I5" s="72">
        <v>1</v>
      </c>
      <c r="J5" s="72">
        <v>1</v>
      </c>
      <c r="K5" s="72">
        <v>0</v>
      </c>
      <c r="L5" s="401">
        <v>1</v>
      </c>
      <c r="M5" s="402">
        <v>0</v>
      </c>
    </row>
    <row r="6" spans="1:13">
      <c r="A6" s="329">
        <v>2</v>
      </c>
      <c r="B6" s="330" t="s">
        <v>170</v>
      </c>
      <c r="C6" s="331" t="s">
        <v>249</v>
      </c>
      <c r="D6" s="20">
        <v>45793</v>
      </c>
      <c r="E6" s="129" t="s">
        <v>36</v>
      </c>
      <c r="F6" s="22">
        <v>16</v>
      </c>
      <c r="G6" s="22">
        <v>16</v>
      </c>
      <c r="H6" s="332">
        <v>1</v>
      </c>
      <c r="I6" s="22">
        <v>0</v>
      </c>
      <c r="J6" s="22">
        <v>0</v>
      </c>
      <c r="K6" s="22">
        <v>0</v>
      </c>
      <c r="L6" s="403">
        <v>0</v>
      </c>
      <c r="M6" s="404">
        <v>1</v>
      </c>
    </row>
    <row r="7" spans="1:13">
      <c r="A7" s="333">
        <v>3</v>
      </c>
      <c r="B7" s="86" t="s">
        <v>241</v>
      </c>
      <c r="C7" s="334">
        <v>45713</v>
      </c>
      <c r="D7" s="335" t="s">
        <v>316</v>
      </c>
      <c r="E7" s="52" t="s">
        <v>250</v>
      </c>
      <c r="F7" s="336">
        <v>1</v>
      </c>
      <c r="G7" s="336">
        <v>0</v>
      </c>
      <c r="H7" s="336">
        <v>1</v>
      </c>
      <c r="I7" s="405">
        <v>0</v>
      </c>
      <c r="J7" s="405">
        <v>0</v>
      </c>
      <c r="K7" s="405">
        <v>0</v>
      </c>
      <c r="L7" s="406">
        <v>1</v>
      </c>
      <c r="M7" s="407">
        <v>0</v>
      </c>
    </row>
    <row r="8" spans="1:13">
      <c r="A8" s="337">
        <v>4</v>
      </c>
      <c r="B8" s="275" t="s">
        <v>264</v>
      </c>
      <c r="C8" s="338">
        <v>45720</v>
      </c>
      <c r="D8" s="339"/>
      <c r="E8" s="339"/>
      <c r="F8" s="340">
        <v>31</v>
      </c>
      <c r="G8" s="340">
        <v>31</v>
      </c>
      <c r="H8" s="341"/>
      <c r="I8" s="408"/>
      <c r="J8" s="408"/>
      <c r="K8" s="408"/>
      <c r="L8" s="408">
        <v>0</v>
      </c>
      <c r="M8" s="409">
        <v>1</v>
      </c>
    </row>
    <row r="9" spans="1:13">
      <c r="A9" s="342">
        <v>5</v>
      </c>
      <c r="B9" s="37" t="s">
        <v>273</v>
      </c>
      <c r="C9" s="343">
        <v>45732</v>
      </c>
      <c r="D9" s="162">
        <v>45786</v>
      </c>
      <c r="E9" s="46" t="s">
        <v>17</v>
      </c>
      <c r="F9" s="72">
        <v>9</v>
      </c>
      <c r="G9" s="72">
        <v>9</v>
      </c>
      <c r="H9" s="299">
        <v>1</v>
      </c>
      <c r="I9" s="72">
        <v>1</v>
      </c>
      <c r="J9" s="72">
        <v>1</v>
      </c>
      <c r="K9" s="72">
        <v>0</v>
      </c>
      <c r="L9" s="297">
        <v>1</v>
      </c>
      <c r="M9" s="47">
        <v>0</v>
      </c>
    </row>
    <row r="10" spans="1:13">
      <c r="A10" s="333">
        <v>6</v>
      </c>
      <c r="B10" s="86" t="s">
        <v>291</v>
      </c>
      <c r="C10" s="344">
        <v>45747</v>
      </c>
      <c r="D10" s="345">
        <v>45789</v>
      </c>
      <c r="E10" s="52" t="s">
        <v>250</v>
      </c>
      <c r="F10" s="333">
        <v>12</v>
      </c>
      <c r="G10" s="333">
        <v>11</v>
      </c>
      <c r="H10" s="346">
        <v>1</v>
      </c>
      <c r="I10" s="333">
        <v>0</v>
      </c>
      <c r="J10" s="333">
        <v>0</v>
      </c>
      <c r="K10" s="333">
        <v>0</v>
      </c>
      <c r="L10" s="333">
        <v>1</v>
      </c>
      <c r="M10" s="90">
        <v>0</v>
      </c>
    </row>
    <row r="11" spans="1:13">
      <c r="A11" s="347">
        <v>7</v>
      </c>
      <c r="B11" s="348" t="s">
        <v>293</v>
      </c>
      <c r="C11" s="349">
        <v>45750</v>
      </c>
      <c r="D11" s="162">
        <v>45790</v>
      </c>
      <c r="E11" s="46" t="s">
        <v>17</v>
      </c>
      <c r="F11" s="72">
        <v>13</v>
      </c>
      <c r="G11" s="72">
        <v>13</v>
      </c>
      <c r="H11" s="299">
        <v>1</v>
      </c>
      <c r="I11" s="72">
        <v>1</v>
      </c>
      <c r="J11" s="72">
        <v>1</v>
      </c>
      <c r="K11" s="72">
        <v>0</v>
      </c>
      <c r="L11" s="72">
        <v>0</v>
      </c>
      <c r="M11" s="72">
        <v>1</v>
      </c>
    </row>
    <row r="12" spans="1:13">
      <c r="A12" s="350">
        <v>8</v>
      </c>
      <c r="B12" s="86" t="s">
        <v>296</v>
      </c>
      <c r="C12" s="334">
        <v>45748</v>
      </c>
      <c r="D12" s="176">
        <v>45781</v>
      </c>
      <c r="E12" s="52" t="s">
        <v>250</v>
      </c>
      <c r="F12" s="192">
        <v>4</v>
      </c>
      <c r="G12" s="192">
        <v>3</v>
      </c>
      <c r="H12" s="351">
        <v>1</v>
      </c>
      <c r="I12" s="192">
        <v>0</v>
      </c>
      <c r="J12" s="192">
        <v>0</v>
      </c>
      <c r="K12" s="192">
        <v>0</v>
      </c>
      <c r="L12" s="192">
        <v>1</v>
      </c>
      <c r="M12" s="192">
        <v>0</v>
      </c>
    </row>
    <row r="13" spans="1:13">
      <c r="A13" s="352">
        <v>9</v>
      </c>
      <c r="B13" s="164" t="s">
        <v>297</v>
      </c>
      <c r="C13" s="353">
        <v>45752</v>
      </c>
      <c r="D13" s="200">
        <v>45785</v>
      </c>
      <c r="E13" s="254" t="s">
        <v>255</v>
      </c>
      <c r="F13" s="189">
        <v>8</v>
      </c>
      <c r="G13" s="189">
        <v>7</v>
      </c>
      <c r="H13" s="354">
        <v>1</v>
      </c>
      <c r="I13" s="189">
        <v>0</v>
      </c>
      <c r="J13" s="189">
        <v>0</v>
      </c>
      <c r="K13" s="189">
        <v>0</v>
      </c>
      <c r="L13" s="189">
        <v>1</v>
      </c>
      <c r="M13" s="189">
        <v>0</v>
      </c>
    </row>
    <row r="14" spans="1:13">
      <c r="A14" s="355">
        <v>10</v>
      </c>
      <c r="B14" s="127" t="s">
        <v>299</v>
      </c>
      <c r="C14" s="356">
        <v>45758</v>
      </c>
      <c r="D14" s="26"/>
      <c r="E14" s="26"/>
      <c r="F14" s="357">
        <v>31</v>
      </c>
      <c r="G14" s="357">
        <v>31</v>
      </c>
      <c r="H14" s="358"/>
      <c r="I14" s="27"/>
      <c r="J14" s="27"/>
      <c r="K14" s="27"/>
      <c r="L14" s="27">
        <v>0</v>
      </c>
      <c r="M14" s="27">
        <v>1</v>
      </c>
    </row>
    <row r="15" spans="1:13">
      <c r="A15" s="359">
        <v>11</v>
      </c>
      <c r="B15" s="37" t="s">
        <v>300</v>
      </c>
      <c r="C15" s="45">
        <v>45759</v>
      </c>
      <c r="D15" s="162">
        <v>45781</v>
      </c>
      <c r="E15" s="46" t="s">
        <v>17</v>
      </c>
      <c r="F15" s="72">
        <v>4</v>
      </c>
      <c r="G15" s="72">
        <v>4</v>
      </c>
      <c r="H15" s="299">
        <v>1</v>
      </c>
      <c r="I15" s="72">
        <v>1</v>
      </c>
      <c r="J15" s="72">
        <v>1</v>
      </c>
      <c r="K15" s="72">
        <v>0</v>
      </c>
      <c r="L15" s="72">
        <v>0</v>
      </c>
      <c r="M15" s="72">
        <v>1</v>
      </c>
    </row>
    <row r="16" spans="1:13">
      <c r="A16" s="268">
        <v>12</v>
      </c>
      <c r="B16" s="86" t="s">
        <v>305</v>
      </c>
      <c r="C16" s="51">
        <v>45765</v>
      </c>
      <c r="D16" s="176">
        <v>45795</v>
      </c>
      <c r="E16" s="52" t="s">
        <v>250</v>
      </c>
      <c r="F16" s="192">
        <v>18</v>
      </c>
      <c r="G16" s="192">
        <v>18</v>
      </c>
      <c r="H16" s="192">
        <v>1</v>
      </c>
      <c r="I16" s="192">
        <v>0</v>
      </c>
      <c r="J16" s="192">
        <v>0</v>
      </c>
      <c r="K16" s="192">
        <v>0</v>
      </c>
      <c r="L16" s="192">
        <v>1</v>
      </c>
      <c r="M16" s="192">
        <v>0</v>
      </c>
    </row>
    <row r="17" spans="1:13">
      <c r="A17" s="268">
        <v>13</v>
      </c>
      <c r="B17" s="86" t="s">
        <v>308</v>
      </c>
      <c r="C17" s="51">
        <v>45769</v>
      </c>
      <c r="D17" s="176">
        <v>45786</v>
      </c>
      <c r="E17" s="52" t="s">
        <v>250</v>
      </c>
      <c r="F17" s="192">
        <v>9</v>
      </c>
      <c r="G17" s="192">
        <v>8</v>
      </c>
      <c r="H17" s="192">
        <v>1</v>
      </c>
      <c r="I17" s="192">
        <v>0</v>
      </c>
      <c r="J17" s="192">
        <v>0</v>
      </c>
      <c r="K17" s="192">
        <v>0</v>
      </c>
      <c r="L17" s="192">
        <v>1</v>
      </c>
      <c r="M17" s="192">
        <v>0</v>
      </c>
    </row>
    <row r="18" spans="1:13">
      <c r="A18" s="255">
        <v>14</v>
      </c>
      <c r="B18" s="43" t="s">
        <v>309</v>
      </c>
      <c r="C18" s="45">
        <v>45770</v>
      </c>
      <c r="D18" s="360">
        <v>45804</v>
      </c>
      <c r="E18" s="46" t="s">
        <v>17</v>
      </c>
      <c r="F18" s="257">
        <v>27</v>
      </c>
      <c r="G18" s="257">
        <v>27</v>
      </c>
      <c r="H18" s="257">
        <v>1</v>
      </c>
      <c r="I18" s="257">
        <v>1</v>
      </c>
      <c r="J18" s="257">
        <v>1</v>
      </c>
      <c r="K18" s="257">
        <v>0</v>
      </c>
      <c r="L18" s="257">
        <v>1</v>
      </c>
      <c r="M18" s="257">
        <v>0</v>
      </c>
    </row>
    <row r="19" spans="1:13">
      <c r="A19" s="125">
        <v>15</v>
      </c>
      <c r="B19" s="18" t="s">
        <v>311</v>
      </c>
      <c r="C19" s="55">
        <v>45774</v>
      </c>
      <c r="D19" s="20">
        <v>45796</v>
      </c>
      <c r="E19" s="129" t="s">
        <v>36</v>
      </c>
      <c r="F19" s="22">
        <v>19</v>
      </c>
      <c r="G19" s="22">
        <v>19</v>
      </c>
      <c r="H19" s="22">
        <v>1</v>
      </c>
      <c r="I19" s="22">
        <v>0</v>
      </c>
      <c r="J19" s="22">
        <v>0</v>
      </c>
      <c r="K19" s="22">
        <v>0</v>
      </c>
      <c r="L19" s="22">
        <v>1</v>
      </c>
      <c r="M19" s="22">
        <v>0</v>
      </c>
    </row>
    <row r="20" spans="1:13">
      <c r="A20" s="251">
        <v>16</v>
      </c>
      <c r="B20" s="37" t="s">
        <v>317</v>
      </c>
      <c r="C20" s="45">
        <v>45776</v>
      </c>
      <c r="D20" s="162">
        <v>45796</v>
      </c>
      <c r="E20" s="46" t="s">
        <v>17</v>
      </c>
      <c r="F20" s="72">
        <v>19</v>
      </c>
      <c r="G20" s="72">
        <v>19</v>
      </c>
      <c r="H20" s="72">
        <v>1</v>
      </c>
      <c r="I20" s="72">
        <v>1</v>
      </c>
      <c r="J20" s="72">
        <v>1</v>
      </c>
      <c r="K20" s="72">
        <v>0</v>
      </c>
      <c r="L20" s="72">
        <v>1</v>
      </c>
      <c r="M20" s="72">
        <v>0</v>
      </c>
    </row>
    <row r="21" spans="1:13">
      <c r="A21" s="251">
        <v>17</v>
      </c>
      <c r="B21" s="37" t="s">
        <v>318</v>
      </c>
      <c r="C21" s="45">
        <v>45777</v>
      </c>
      <c r="D21" s="162">
        <v>45792</v>
      </c>
      <c r="E21" s="46" t="s">
        <v>17</v>
      </c>
      <c r="F21" s="72">
        <v>15</v>
      </c>
      <c r="G21" s="72">
        <v>15</v>
      </c>
      <c r="H21" s="72">
        <v>1</v>
      </c>
      <c r="I21" s="72">
        <v>1</v>
      </c>
      <c r="J21" s="72">
        <v>1</v>
      </c>
      <c r="K21" s="72">
        <v>0</v>
      </c>
      <c r="L21" s="72">
        <v>1</v>
      </c>
      <c r="M21" s="72">
        <v>0</v>
      </c>
    </row>
    <row r="22" spans="1:13">
      <c r="A22" s="268">
        <v>18</v>
      </c>
      <c r="B22" s="86" t="s">
        <v>319</v>
      </c>
      <c r="C22" s="51">
        <v>45777</v>
      </c>
      <c r="D22" s="176">
        <v>45797</v>
      </c>
      <c r="E22" s="52" t="s">
        <v>250</v>
      </c>
      <c r="F22" s="192">
        <v>20</v>
      </c>
      <c r="G22" s="192">
        <v>19</v>
      </c>
      <c r="H22" s="192">
        <v>1</v>
      </c>
      <c r="I22" s="192">
        <v>0</v>
      </c>
      <c r="J22" s="192">
        <v>0</v>
      </c>
      <c r="K22" s="192">
        <v>0</v>
      </c>
      <c r="L22" s="192">
        <v>1</v>
      </c>
      <c r="M22" s="192">
        <v>0</v>
      </c>
    </row>
    <row r="23" spans="1:13">
      <c r="A23" s="268">
        <v>19</v>
      </c>
      <c r="B23" s="86" t="s">
        <v>320</v>
      </c>
      <c r="C23" s="51">
        <v>45778</v>
      </c>
      <c r="D23" s="176">
        <v>45807</v>
      </c>
      <c r="E23" s="52" t="s">
        <v>250</v>
      </c>
      <c r="F23" s="192">
        <v>30</v>
      </c>
      <c r="G23" s="192">
        <v>29</v>
      </c>
      <c r="H23" s="192">
        <v>1</v>
      </c>
      <c r="I23" s="192">
        <v>0</v>
      </c>
      <c r="J23" s="192">
        <v>0</v>
      </c>
      <c r="K23" s="192">
        <v>0</v>
      </c>
      <c r="L23" s="192">
        <v>1</v>
      </c>
      <c r="M23" s="192">
        <v>0</v>
      </c>
    </row>
    <row r="24" spans="1:13">
      <c r="A24" s="268">
        <v>20</v>
      </c>
      <c r="B24" s="86" t="s">
        <v>241</v>
      </c>
      <c r="C24" s="51">
        <v>45781</v>
      </c>
      <c r="D24" s="176">
        <v>45801</v>
      </c>
      <c r="E24" s="52" t="s">
        <v>250</v>
      </c>
      <c r="F24" s="192">
        <v>20</v>
      </c>
      <c r="G24" s="192">
        <v>19</v>
      </c>
      <c r="H24" s="192">
        <v>1</v>
      </c>
      <c r="I24" s="192">
        <v>0</v>
      </c>
      <c r="J24" s="192">
        <v>0</v>
      </c>
      <c r="K24" s="192">
        <v>0</v>
      </c>
      <c r="L24" s="192">
        <v>1</v>
      </c>
      <c r="M24" s="192">
        <v>0</v>
      </c>
    </row>
    <row r="25" spans="1:13">
      <c r="A25" s="267">
        <v>21</v>
      </c>
      <c r="B25" s="37" t="s">
        <v>321</v>
      </c>
      <c r="C25" s="39">
        <v>45783</v>
      </c>
      <c r="D25" s="300">
        <v>45789</v>
      </c>
      <c r="E25" s="40" t="s">
        <v>17</v>
      </c>
      <c r="F25" s="201">
        <v>7</v>
      </c>
      <c r="G25" s="201">
        <v>7</v>
      </c>
      <c r="H25" s="201">
        <v>1</v>
      </c>
      <c r="I25" s="201">
        <v>1</v>
      </c>
      <c r="J25" s="201">
        <v>1</v>
      </c>
      <c r="K25" s="201">
        <v>0</v>
      </c>
      <c r="L25" s="201">
        <v>1</v>
      </c>
      <c r="M25" s="201">
        <v>0</v>
      </c>
    </row>
    <row r="26" spans="1:13">
      <c r="A26" s="238">
        <v>22</v>
      </c>
      <c r="B26" s="361" t="s">
        <v>322</v>
      </c>
      <c r="C26" s="186">
        <v>45785</v>
      </c>
      <c r="D26" s="220">
        <v>45796</v>
      </c>
      <c r="E26" s="238" t="s">
        <v>255</v>
      </c>
      <c r="F26" s="221">
        <v>11</v>
      </c>
      <c r="G26" s="221">
        <v>11</v>
      </c>
      <c r="H26" s="221">
        <v>1</v>
      </c>
      <c r="I26" s="221">
        <v>0</v>
      </c>
      <c r="J26" s="221">
        <v>0</v>
      </c>
      <c r="K26" s="221">
        <v>0</v>
      </c>
      <c r="L26" s="221">
        <v>1</v>
      </c>
      <c r="M26" s="221">
        <v>0</v>
      </c>
    </row>
    <row r="27" spans="1:13">
      <c r="A27" s="267">
        <v>23</v>
      </c>
      <c r="B27" s="37" t="s">
        <v>323</v>
      </c>
      <c r="C27" s="39">
        <v>45786</v>
      </c>
      <c r="D27" s="300">
        <v>45797</v>
      </c>
      <c r="E27" s="40" t="s">
        <v>17</v>
      </c>
      <c r="F27" s="201">
        <v>11</v>
      </c>
      <c r="G27" s="201">
        <v>11</v>
      </c>
      <c r="H27" s="201">
        <v>1</v>
      </c>
      <c r="I27" s="201">
        <v>1</v>
      </c>
      <c r="J27" s="201">
        <v>1</v>
      </c>
      <c r="K27" s="201">
        <v>0</v>
      </c>
      <c r="L27" s="201">
        <v>1</v>
      </c>
      <c r="M27" s="201">
        <v>0</v>
      </c>
    </row>
    <row r="28" spans="1:13">
      <c r="A28" s="26">
        <v>24</v>
      </c>
      <c r="B28" s="275" t="s">
        <v>324</v>
      </c>
      <c r="C28" s="152">
        <v>45786</v>
      </c>
      <c r="D28" s="26"/>
      <c r="E28" s="26"/>
      <c r="F28" s="357">
        <v>23</v>
      </c>
      <c r="G28" s="357">
        <v>23</v>
      </c>
      <c r="H28" s="27"/>
      <c r="I28" s="27"/>
      <c r="J28" s="27"/>
      <c r="K28" s="27"/>
      <c r="L28" s="27">
        <v>1</v>
      </c>
      <c r="M28" s="27">
        <v>0</v>
      </c>
    </row>
    <row r="29" spans="1:13">
      <c r="A29" s="26">
        <v>25</v>
      </c>
      <c r="B29" s="275" t="s">
        <v>325</v>
      </c>
      <c r="C29" s="152">
        <v>45789</v>
      </c>
      <c r="D29" s="26"/>
      <c r="E29" s="26"/>
      <c r="F29" s="357">
        <v>20</v>
      </c>
      <c r="G29" s="357">
        <v>20</v>
      </c>
      <c r="H29" s="27"/>
      <c r="I29" s="27"/>
      <c r="J29" s="27"/>
      <c r="K29" s="27"/>
      <c r="L29" s="27">
        <v>0</v>
      </c>
      <c r="M29" s="27">
        <v>1</v>
      </c>
    </row>
    <row r="30" spans="1:13">
      <c r="A30" s="26">
        <v>26</v>
      </c>
      <c r="B30" s="275" t="s">
        <v>326</v>
      </c>
      <c r="C30" s="152">
        <v>45789</v>
      </c>
      <c r="D30" s="26"/>
      <c r="E30" s="26"/>
      <c r="F30" s="357">
        <v>20</v>
      </c>
      <c r="G30" s="357">
        <v>20</v>
      </c>
      <c r="H30" s="27"/>
      <c r="I30" s="27"/>
      <c r="J30" s="27"/>
      <c r="K30" s="27"/>
      <c r="L30" s="27">
        <v>0</v>
      </c>
      <c r="M30" s="27">
        <v>1</v>
      </c>
    </row>
    <row r="31" spans="1:13">
      <c r="A31" s="268">
        <v>27</v>
      </c>
      <c r="B31" s="86" t="s">
        <v>291</v>
      </c>
      <c r="C31" s="51">
        <v>45790</v>
      </c>
      <c r="D31" s="176">
        <v>45791</v>
      </c>
      <c r="E31" s="52" t="s">
        <v>250</v>
      </c>
      <c r="F31" s="192">
        <v>2</v>
      </c>
      <c r="G31" s="192">
        <v>1</v>
      </c>
      <c r="H31" s="351">
        <v>1</v>
      </c>
      <c r="I31" s="192">
        <v>0</v>
      </c>
      <c r="J31" s="192">
        <v>0</v>
      </c>
      <c r="K31" s="192">
        <v>0</v>
      </c>
      <c r="L31" s="192">
        <v>1</v>
      </c>
      <c r="M31" s="192">
        <v>0</v>
      </c>
    </row>
    <row r="32" spans="1:13">
      <c r="A32" s="251">
        <v>28</v>
      </c>
      <c r="B32" s="37" t="s">
        <v>327</v>
      </c>
      <c r="C32" s="45">
        <v>45791</v>
      </c>
      <c r="D32" s="162">
        <v>45800</v>
      </c>
      <c r="E32" s="40" t="s">
        <v>17</v>
      </c>
      <c r="F32" s="72">
        <v>10</v>
      </c>
      <c r="G32" s="72">
        <v>10</v>
      </c>
      <c r="H32" s="299">
        <v>1</v>
      </c>
      <c r="I32" s="72">
        <v>1</v>
      </c>
      <c r="J32" s="72">
        <v>1</v>
      </c>
      <c r="K32" s="72">
        <v>0</v>
      </c>
      <c r="L32" s="72">
        <v>0</v>
      </c>
      <c r="M32" s="72">
        <v>1</v>
      </c>
    </row>
    <row r="33" spans="1:13">
      <c r="A33" s="312">
        <v>29</v>
      </c>
      <c r="B33" s="275" t="s">
        <v>328</v>
      </c>
      <c r="C33" s="362">
        <v>45791</v>
      </c>
      <c r="D33" s="276"/>
      <c r="E33" s="100"/>
      <c r="F33" s="363">
        <v>18</v>
      </c>
      <c r="G33" s="363">
        <v>18</v>
      </c>
      <c r="H33" s="364"/>
      <c r="I33" s="136"/>
      <c r="J33" s="136"/>
      <c r="K33" s="136"/>
      <c r="L33" s="136">
        <v>0</v>
      </c>
      <c r="M33" s="136">
        <v>1</v>
      </c>
    </row>
    <row r="34" spans="1:13">
      <c r="A34" s="125">
        <v>30</v>
      </c>
      <c r="B34" s="365" t="s">
        <v>329</v>
      </c>
      <c r="C34" s="55">
        <v>45792</v>
      </c>
      <c r="D34" s="20">
        <v>45801</v>
      </c>
      <c r="E34" s="129" t="s">
        <v>36</v>
      </c>
      <c r="F34" s="22">
        <v>10</v>
      </c>
      <c r="G34" s="22">
        <v>10</v>
      </c>
      <c r="H34" s="332">
        <v>1</v>
      </c>
      <c r="I34" s="22">
        <v>0</v>
      </c>
      <c r="J34" s="22">
        <v>0</v>
      </c>
      <c r="K34" s="22">
        <v>0</v>
      </c>
      <c r="L34" s="22">
        <v>0</v>
      </c>
      <c r="M34" s="22">
        <v>1</v>
      </c>
    </row>
    <row r="35" spans="1:13">
      <c r="A35" s="254">
        <v>31</v>
      </c>
      <c r="B35" s="164" t="s">
        <v>330</v>
      </c>
      <c r="C35" s="186">
        <v>45794</v>
      </c>
      <c r="D35" s="200">
        <v>45804</v>
      </c>
      <c r="E35" s="238" t="s">
        <v>255</v>
      </c>
      <c r="F35" s="189">
        <v>11</v>
      </c>
      <c r="G35" s="189">
        <v>10</v>
      </c>
      <c r="H35" s="189">
        <v>1</v>
      </c>
      <c r="I35" s="189">
        <v>0</v>
      </c>
      <c r="J35" s="189">
        <v>0</v>
      </c>
      <c r="K35" s="189">
        <v>0</v>
      </c>
      <c r="L35" s="189">
        <v>0</v>
      </c>
      <c r="M35" s="189">
        <v>1</v>
      </c>
    </row>
    <row r="36" spans="1:13">
      <c r="A36" s="366">
        <v>32</v>
      </c>
      <c r="B36" s="367" t="s">
        <v>291</v>
      </c>
      <c r="C36" s="368">
        <v>45791</v>
      </c>
      <c r="D36" s="369">
        <v>45803</v>
      </c>
      <c r="E36" s="370" t="s">
        <v>331</v>
      </c>
      <c r="F36" s="371">
        <v>13</v>
      </c>
      <c r="G36" s="371">
        <v>12</v>
      </c>
      <c r="H36" s="371">
        <v>1</v>
      </c>
      <c r="I36" s="371">
        <v>0</v>
      </c>
      <c r="J36" s="371">
        <v>0</v>
      </c>
      <c r="K36" s="371">
        <v>0</v>
      </c>
      <c r="L36" s="371">
        <v>1</v>
      </c>
      <c r="M36" s="371">
        <v>0</v>
      </c>
    </row>
    <row r="37" spans="1:13">
      <c r="A37" s="26">
        <v>33</v>
      </c>
      <c r="B37" s="275" t="s">
        <v>332</v>
      </c>
      <c r="C37" s="152">
        <v>45796</v>
      </c>
      <c r="D37" s="26"/>
      <c r="E37" s="26"/>
      <c r="F37" s="357">
        <v>13</v>
      </c>
      <c r="G37" s="357">
        <v>13</v>
      </c>
      <c r="H37" s="27"/>
      <c r="I37" s="27"/>
      <c r="J37" s="27"/>
      <c r="K37" s="27"/>
      <c r="L37" s="27">
        <v>1</v>
      </c>
      <c r="M37" s="27">
        <v>0</v>
      </c>
    </row>
    <row r="38" spans="1:13">
      <c r="A38" s="26">
        <v>34</v>
      </c>
      <c r="B38" s="127" t="s">
        <v>333</v>
      </c>
      <c r="C38" s="372">
        <v>45796</v>
      </c>
      <c r="D38" s="26"/>
      <c r="E38" s="26"/>
      <c r="F38" s="357">
        <v>13</v>
      </c>
      <c r="G38" s="357">
        <v>13</v>
      </c>
      <c r="H38" s="27"/>
      <c r="I38" s="27"/>
      <c r="J38" s="27"/>
      <c r="K38" s="27"/>
      <c r="L38" s="27">
        <v>1</v>
      </c>
      <c r="M38" s="27">
        <v>0</v>
      </c>
    </row>
    <row r="39" spans="1:13">
      <c r="A39" s="26">
        <v>35</v>
      </c>
      <c r="B39" s="275" t="s">
        <v>334</v>
      </c>
      <c r="C39" s="152">
        <v>45797</v>
      </c>
      <c r="D39" s="26"/>
      <c r="E39" s="26"/>
      <c r="F39" s="357">
        <v>12</v>
      </c>
      <c r="G39" s="357">
        <v>12</v>
      </c>
      <c r="H39" s="27"/>
      <c r="I39" s="27"/>
      <c r="J39" s="27"/>
      <c r="K39" s="27"/>
      <c r="L39" s="27">
        <v>1</v>
      </c>
      <c r="M39" s="27">
        <v>0</v>
      </c>
    </row>
    <row r="40" spans="1:13">
      <c r="A40" s="26">
        <v>36</v>
      </c>
      <c r="B40" s="275" t="s">
        <v>335</v>
      </c>
      <c r="C40" s="152">
        <v>45798</v>
      </c>
      <c r="D40" s="26"/>
      <c r="E40" s="26"/>
      <c r="F40" s="357">
        <v>11</v>
      </c>
      <c r="G40" s="357">
        <v>11</v>
      </c>
      <c r="H40" s="27"/>
      <c r="I40" s="27"/>
      <c r="J40" s="27"/>
      <c r="K40" s="27"/>
      <c r="L40" s="27">
        <v>0</v>
      </c>
      <c r="M40" s="27">
        <v>1</v>
      </c>
    </row>
    <row r="41" spans="1:13">
      <c r="A41" s="26">
        <v>37</v>
      </c>
      <c r="B41" s="127" t="s">
        <v>336</v>
      </c>
      <c r="C41" s="152">
        <v>45799</v>
      </c>
      <c r="D41" s="26"/>
      <c r="E41" s="26"/>
      <c r="F41" s="357">
        <v>10</v>
      </c>
      <c r="G41" s="357">
        <v>10</v>
      </c>
      <c r="H41" s="27"/>
      <c r="I41" s="27"/>
      <c r="J41" s="27"/>
      <c r="K41" s="27"/>
      <c r="L41" s="27">
        <v>0</v>
      </c>
      <c r="M41" s="27">
        <v>1</v>
      </c>
    </row>
    <row r="42" spans="1:13">
      <c r="A42" s="26">
        <v>38</v>
      </c>
      <c r="B42" s="275" t="s">
        <v>337</v>
      </c>
      <c r="C42" s="152">
        <v>45801</v>
      </c>
      <c r="D42" s="26"/>
      <c r="E42" s="26"/>
      <c r="F42" s="357">
        <v>8</v>
      </c>
      <c r="G42" s="357">
        <v>8</v>
      </c>
      <c r="H42" s="27"/>
      <c r="I42" s="27"/>
      <c r="J42" s="27"/>
      <c r="K42" s="27"/>
      <c r="L42" s="27">
        <v>1</v>
      </c>
      <c r="M42" s="27">
        <v>0</v>
      </c>
    </row>
    <row r="43" spans="1:13">
      <c r="A43" s="26">
        <v>39</v>
      </c>
      <c r="B43" s="275" t="s">
        <v>338</v>
      </c>
      <c r="C43" s="152">
        <v>45802</v>
      </c>
      <c r="D43" s="26"/>
      <c r="E43" s="26"/>
      <c r="F43" s="357">
        <v>7</v>
      </c>
      <c r="G43" s="357">
        <v>7</v>
      </c>
      <c r="H43" s="27"/>
      <c r="I43" s="27"/>
      <c r="J43" s="27"/>
      <c r="K43" s="27"/>
      <c r="L43" s="27">
        <v>1</v>
      </c>
      <c r="M43" s="27">
        <v>0</v>
      </c>
    </row>
    <row r="44" spans="1:13">
      <c r="A44" s="26">
        <v>40</v>
      </c>
      <c r="B44" s="127" t="s">
        <v>339</v>
      </c>
      <c r="C44" s="152">
        <v>45801</v>
      </c>
      <c r="D44" s="26"/>
      <c r="E44" s="26"/>
      <c r="F44" s="357">
        <v>8</v>
      </c>
      <c r="G44" s="357">
        <v>8</v>
      </c>
      <c r="H44" s="27"/>
      <c r="I44" s="27"/>
      <c r="J44" s="27"/>
      <c r="K44" s="27"/>
      <c r="L44" s="27">
        <v>1</v>
      </c>
      <c r="M44" s="27">
        <v>0</v>
      </c>
    </row>
    <row r="45" spans="1:13">
      <c r="A45" s="33">
        <v>41</v>
      </c>
      <c r="B45" s="127" t="s">
        <v>340</v>
      </c>
      <c r="C45" s="152">
        <v>45803</v>
      </c>
      <c r="D45" s="26"/>
      <c r="E45" s="26"/>
      <c r="F45" s="357">
        <v>6</v>
      </c>
      <c r="G45" s="357">
        <v>6</v>
      </c>
      <c r="H45" s="27"/>
      <c r="I45" s="27"/>
      <c r="J45" s="27"/>
      <c r="K45" s="27"/>
      <c r="L45" s="27">
        <v>1</v>
      </c>
      <c r="M45" s="27">
        <v>0</v>
      </c>
    </row>
    <row r="46" spans="1:13">
      <c r="A46" s="26">
        <v>42</v>
      </c>
      <c r="B46" s="127" t="s">
        <v>341</v>
      </c>
      <c r="C46" s="152">
        <v>45804</v>
      </c>
      <c r="D46" s="26"/>
      <c r="E46" s="26"/>
      <c r="F46" s="357">
        <v>5</v>
      </c>
      <c r="G46" s="357">
        <v>5</v>
      </c>
      <c r="H46" s="27"/>
      <c r="I46" s="27"/>
      <c r="J46" s="27"/>
      <c r="K46" s="27"/>
      <c r="L46" s="27">
        <v>1</v>
      </c>
      <c r="M46" s="27">
        <v>0</v>
      </c>
    </row>
    <row r="47" spans="1:13">
      <c r="A47" s="26">
        <v>43</v>
      </c>
      <c r="B47" s="127" t="s">
        <v>342</v>
      </c>
      <c r="C47" s="152">
        <v>45806</v>
      </c>
      <c r="D47" s="26"/>
      <c r="E47" s="26"/>
      <c r="F47" s="357">
        <v>3</v>
      </c>
      <c r="G47" s="357">
        <v>3</v>
      </c>
      <c r="H47" s="27"/>
      <c r="I47" s="27"/>
      <c r="J47" s="27"/>
      <c r="K47" s="27"/>
      <c r="L47" s="27">
        <v>1</v>
      </c>
      <c r="M47" s="27">
        <v>0</v>
      </c>
    </row>
    <row r="48" spans="1:13">
      <c r="A48" s="34">
        <v>44</v>
      </c>
      <c r="B48" s="145" t="s">
        <v>343</v>
      </c>
      <c r="C48" s="152">
        <v>45807</v>
      </c>
      <c r="D48" s="26"/>
      <c r="E48" s="26"/>
      <c r="F48" s="357">
        <v>2</v>
      </c>
      <c r="G48" s="357">
        <v>2</v>
      </c>
      <c r="H48" s="26"/>
      <c r="I48" s="26"/>
      <c r="J48" s="26"/>
      <c r="K48" s="26"/>
      <c r="L48" s="27">
        <v>0</v>
      </c>
      <c r="M48" s="27">
        <v>1</v>
      </c>
    </row>
    <row r="49" spans="1:13">
      <c r="A49" s="103"/>
      <c r="B49" s="104"/>
      <c r="C49" s="104"/>
      <c r="D49" s="104"/>
      <c r="E49" s="105"/>
      <c r="F49" s="196">
        <v>570</v>
      </c>
      <c r="G49" s="153">
        <v>559</v>
      </c>
      <c r="H49" s="107">
        <v>26</v>
      </c>
      <c r="I49" s="153">
        <v>10</v>
      </c>
      <c r="J49" s="153">
        <v>10</v>
      </c>
      <c r="K49" s="153">
        <v>0</v>
      </c>
      <c r="L49" s="153">
        <v>30</v>
      </c>
      <c r="M49" s="153">
        <v>14</v>
      </c>
    </row>
    <row r="50" spans="1:13">
      <c r="A50" s="108"/>
      <c r="B50" s="109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37"/>
    </row>
    <row r="51" spans="1:13" ht="38.25">
      <c r="A51" s="111"/>
      <c r="B51" s="109"/>
      <c r="C51" s="373" t="s">
        <v>91</v>
      </c>
      <c r="D51" s="113" t="s">
        <v>92</v>
      </c>
      <c r="E51" s="112" t="s">
        <v>93</v>
      </c>
      <c r="F51" s="113" t="s">
        <v>94</v>
      </c>
      <c r="G51" s="113" t="s">
        <v>95</v>
      </c>
      <c r="H51" s="113" t="s">
        <v>96</v>
      </c>
      <c r="I51" s="113" t="s">
        <v>97</v>
      </c>
      <c r="J51" s="113" t="s">
        <v>98</v>
      </c>
      <c r="K51" s="112" t="s">
        <v>99</v>
      </c>
      <c r="L51" s="138" t="s">
        <v>100</v>
      </c>
      <c r="M51" s="112" t="s">
        <v>101</v>
      </c>
    </row>
    <row r="52" spans="1:13">
      <c r="A52" s="111"/>
      <c r="B52" s="114"/>
      <c r="C52" s="115">
        <v>18</v>
      </c>
      <c r="D52" s="115">
        <v>31</v>
      </c>
      <c r="E52" s="115">
        <v>558</v>
      </c>
      <c r="F52" s="116">
        <v>570</v>
      </c>
      <c r="G52" s="117">
        <f>F52/E52</f>
        <v>1.02150537634409</v>
      </c>
      <c r="H52" s="118">
        <f>F49/H49</f>
        <v>21.923076923076898</v>
      </c>
      <c r="I52" s="139">
        <f>I49/(L49+M49)</f>
        <v>0.22727272727272699</v>
      </c>
      <c r="J52" s="139">
        <f>J49/I49</f>
        <v>1</v>
      </c>
      <c r="K52" s="140">
        <f>K49/(I49)</f>
        <v>0</v>
      </c>
      <c r="L52" s="141">
        <f>L49/(L49+M49)</f>
        <v>0.68181818181818199</v>
      </c>
      <c r="M52" s="140">
        <f>M49/(L49+M49)</f>
        <v>0.31818181818181801</v>
      </c>
    </row>
    <row r="55" spans="1:13">
      <c r="B55" t="s">
        <v>344</v>
      </c>
    </row>
    <row r="56" spans="1:13" ht="25.5">
      <c r="A56" s="7" t="s">
        <v>1</v>
      </c>
      <c r="B56" s="10" t="s">
        <v>2</v>
      </c>
      <c r="C56" s="7" t="s">
        <v>3</v>
      </c>
      <c r="D56" s="7" t="s">
        <v>4</v>
      </c>
      <c r="E56" s="8" t="s">
        <v>5</v>
      </c>
      <c r="F56" s="9" t="s">
        <v>6</v>
      </c>
      <c r="G56" s="7" t="s">
        <v>7</v>
      </c>
      <c r="H56" s="10" t="s">
        <v>8</v>
      </c>
      <c r="I56" s="10" t="s">
        <v>9</v>
      </c>
      <c r="J56" s="8" t="s">
        <v>10</v>
      </c>
      <c r="K56" s="134" t="s">
        <v>11</v>
      </c>
      <c r="L56" s="135" t="s">
        <v>12</v>
      </c>
      <c r="M56" s="134" t="s">
        <v>13</v>
      </c>
    </row>
    <row r="57" spans="1:13">
      <c r="A57" s="374">
        <v>1</v>
      </c>
      <c r="B57" s="375" t="s">
        <v>241</v>
      </c>
      <c r="C57" s="376" t="s">
        <v>316</v>
      </c>
      <c r="D57" s="377">
        <v>45782</v>
      </c>
      <c r="E57" s="378" t="s">
        <v>345</v>
      </c>
      <c r="F57" s="379">
        <v>5</v>
      </c>
      <c r="G57" s="379">
        <v>4</v>
      </c>
      <c r="H57" s="380">
        <v>1</v>
      </c>
      <c r="I57" s="379">
        <v>0</v>
      </c>
      <c r="J57" s="379">
        <v>0</v>
      </c>
      <c r="K57" s="379">
        <v>0</v>
      </c>
      <c r="L57" s="410">
        <v>1</v>
      </c>
      <c r="M57" s="411">
        <v>0</v>
      </c>
    </row>
    <row r="58" spans="1:13">
      <c r="A58" s="381">
        <v>2</v>
      </c>
      <c r="B58" s="18" t="s">
        <v>296</v>
      </c>
      <c r="C58" s="382" t="s">
        <v>346</v>
      </c>
      <c r="D58" s="303">
        <v>38483</v>
      </c>
      <c r="E58" s="129" t="s">
        <v>36</v>
      </c>
      <c r="F58" s="237">
        <v>11</v>
      </c>
      <c r="G58" s="237">
        <v>11</v>
      </c>
      <c r="H58" s="383">
        <v>1</v>
      </c>
      <c r="I58" s="237">
        <v>0</v>
      </c>
      <c r="J58" s="237">
        <v>0</v>
      </c>
      <c r="K58" s="237">
        <v>0</v>
      </c>
      <c r="L58" s="403">
        <v>1</v>
      </c>
      <c r="M58" s="404">
        <v>0</v>
      </c>
    </row>
    <row r="59" spans="1:13">
      <c r="A59" s="384">
        <v>3</v>
      </c>
      <c r="B59" s="375" t="s">
        <v>321</v>
      </c>
      <c r="C59" s="385">
        <v>45736</v>
      </c>
      <c r="D59" s="386" t="s">
        <v>347</v>
      </c>
      <c r="E59" s="378" t="s">
        <v>345</v>
      </c>
      <c r="F59" s="387">
        <v>6</v>
      </c>
      <c r="G59" s="387">
        <v>5</v>
      </c>
      <c r="H59" s="387">
        <v>1</v>
      </c>
      <c r="I59" s="412">
        <v>0</v>
      </c>
      <c r="J59" s="412">
        <v>0</v>
      </c>
      <c r="K59" s="412">
        <v>0</v>
      </c>
      <c r="L59" s="413">
        <v>1</v>
      </c>
      <c r="M59" s="414">
        <v>0</v>
      </c>
    </row>
    <row r="60" spans="1:13">
      <c r="A60" s="172">
        <v>4</v>
      </c>
      <c r="B60" s="361" t="s">
        <v>348</v>
      </c>
      <c r="C60" s="388">
        <v>45777</v>
      </c>
      <c r="D60" s="389">
        <v>45785</v>
      </c>
      <c r="E60" s="254" t="s">
        <v>255</v>
      </c>
      <c r="F60" s="390">
        <v>8</v>
      </c>
      <c r="G60" s="390">
        <v>7</v>
      </c>
      <c r="H60" s="391">
        <v>1</v>
      </c>
      <c r="I60" s="390">
        <v>0</v>
      </c>
      <c r="J60" s="390">
        <v>0</v>
      </c>
      <c r="K60" s="390">
        <v>0</v>
      </c>
      <c r="L60" s="390">
        <v>1</v>
      </c>
      <c r="M60" s="61">
        <v>0</v>
      </c>
    </row>
    <row r="61" spans="1:13">
      <c r="A61" s="172">
        <v>5</v>
      </c>
      <c r="B61" s="392" t="s">
        <v>349</v>
      </c>
      <c r="C61" s="388">
        <v>45782</v>
      </c>
      <c r="D61" s="200">
        <v>45784</v>
      </c>
      <c r="E61" s="254" t="s">
        <v>255</v>
      </c>
      <c r="F61" s="189">
        <v>3</v>
      </c>
      <c r="G61" s="189">
        <v>2</v>
      </c>
      <c r="H61" s="354">
        <v>1</v>
      </c>
      <c r="I61" s="189">
        <v>0</v>
      </c>
      <c r="J61" s="189">
        <v>0</v>
      </c>
      <c r="K61" s="189">
        <v>0</v>
      </c>
      <c r="L61" s="390">
        <v>0</v>
      </c>
      <c r="M61" s="61">
        <v>1</v>
      </c>
    </row>
    <row r="62" spans="1:13">
      <c r="A62" s="393">
        <v>6</v>
      </c>
      <c r="B62" s="394" t="s">
        <v>350</v>
      </c>
      <c r="C62" s="395">
        <v>45783</v>
      </c>
      <c r="D62" s="396">
        <v>45785</v>
      </c>
      <c r="E62" s="397" t="s">
        <v>345</v>
      </c>
      <c r="F62" s="398">
        <v>3</v>
      </c>
      <c r="G62" s="398">
        <v>2</v>
      </c>
      <c r="H62" s="399">
        <v>1</v>
      </c>
      <c r="I62" s="398">
        <v>0</v>
      </c>
      <c r="J62" s="398">
        <v>0</v>
      </c>
      <c r="K62" s="398">
        <v>0</v>
      </c>
      <c r="L62" s="398">
        <v>1</v>
      </c>
      <c r="M62" s="415">
        <v>0</v>
      </c>
    </row>
    <row r="63" spans="1:13">
      <c r="A63" s="125">
        <v>7</v>
      </c>
      <c r="B63" s="28" t="s">
        <v>351</v>
      </c>
      <c r="C63" s="151">
        <v>45785</v>
      </c>
      <c r="D63" s="20">
        <v>45800</v>
      </c>
      <c r="E63" s="21" t="s">
        <v>36</v>
      </c>
      <c r="F63" s="22">
        <v>16</v>
      </c>
      <c r="G63" s="22">
        <v>16</v>
      </c>
      <c r="H63" s="332">
        <v>1</v>
      </c>
      <c r="I63" s="22">
        <v>0</v>
      </c>
      <c r="J63" s="22">
        <v>0</v>
      </c>
      <c r="K63" s="22">
        <v>0</v>
      </c>
      <c r="L63" s="22">
        <v>0</v>
      </c>
      <c r="M63" s="22">
        <v>1</v>
      </c>
    </row>
    <row r="64" spans="1:13">
      <c r="A64" s="101">
        <v>8</v>
      </c>
      <c r="B64" s="28" t="s">
        <v>352</v>
      </c>
      <c r="C64" s="151">
        <v>45786</v>
      </c>
      <c r="D64" s="84">
        <v>45797</v>
      </c>
      <c r="E64" s="21" t="s">
        <v>36</v>
      </c>
      <c r="F64" s="102">
        <v>11</v>
      </c>
      <c r="G64" s="102">
        <v>11</v>
      </c>
      <c r="H64" s="400">
        <v>1</v>
      </c>
      <c r="I64" s="102">
        <v>0</v>
      </c>
      <c r="J64" s="102">
        <v>0</v>
      </c>
      <c r="K64" s="102">
        <v>0</v>
      </c>
      <c r="L64" s="102">
        <v>1</v>
      </c>
      <c r="M64" s="102">
        <v>0</v>
      </c>
    </row>
    <row r="65" spans="1:13">
      <c r="A65" s="185">
        <v>9</v>
      </c>
      <c r="B65" s="164" t="s">
        <v>308</v>
      </c>
      <c r="C65" s="186">
        <v>45786</v>
      </c>
      <c r="D65" s="200">
        <v>45802</v>
      </c>
      <c r="E65" s="254" t="s">
        <v>255</v>
      </c>
      <c r="F65" s="189">
        <v>17</v>
      </c>
      <c r="G65" s="189">
        <v>16</v>
      </c>
      <c r="H65" s="354">
        <v>1</v>
      </c>
      <c r="I65" s="189">
        <v>0</v>
      </c>
      <c r="J65" s="189">
        <v>0</v>
      </c>
      <c r="K65" s="189">
        <v>0</v>
      </c>
      <c r="L65" s="189">
        <v>1</v>
      </c>
      <c r="M65" s="189">
        <v>0</v>
      </c>
    </row>
    <row r="66" spans="1:13">
      <c r="A66" s="416">
        <v>10</v>
      </c>
      <c r="B66" s="417" t="s">
        <v>291</v>
      </c>
      <c r="C66" s="418">
        <v>45789</v>
      </c>
      <c r="D66" s="419">
        <v>45790</v>
      </c>
      <c r="E66" s="397" t="s">
        <v>345</v>
      </c>
      <c r="F66" s="420">
        <v>2</v>
      </c>
      <c r="G66" s="420">
        <v>1</v>
      </c>
      <c r="H66" s="421">
        <v>1</v>
      </c>
      <c r="I66" s="420">
        <v>0</v>
      </c>
      <c r="J66" s="420">
        <v>0</v>
      </c>
      <c r="K66" s="420">
        <v>0</v>
      </c>
      <c r="L66" s="420">
        <v>1</v>
      </c>
      <c r="M66" s="420">
        <v>0</v>
      </c>
    </row>
    <row r="67" spans="1:13">
      <c r="A67" s="397">
        <v>11</v>
      </c>
      <c r="B67" s="417" t="s">
        <v>291</v>
      </c>
      <c r="C67" s="419">
        <v>45791</v>
      </c>
      <c r="D67" s="419">
        <v>45791</v>
      </c>
      <c r="E67" s="397" t="s">
        <v>345</v>
      </c>
      <c r="F67" s="420">
        <v>1</v>
      </c>
      <c r="G67" s="420">
        <v>0</v>
      </c>
      <c r="H67" s="420">
        <v>1</v>
      </c>
      <c r="I67" s="420">
        <v>0</v>
      </c>
      <c r="J67" s="420">
        <v>0</v>
      </c>
      <c r="K67" s="420">
        <v>0</v>
      </c>
      <c r="L67" s="420">
        <v>1</v>
      </c>
      <c r="M67" s="420">
        <v>0</v>
      </c>
    </row>
    <row r="68" spans="1:13">
      <c r="A68" s="125">
        <v>12</v>
      </c>
      <c r="B68" s="28" t="s">
        <v>305</v>
      </c>
      <c r="C68" s="20">
        <v>45795</v>
      </c>
      <c r="D68" s="20">
        <v>45796</v>
      </c>
      <c r="E68" s="129" t="s">
        <v>36</v>
      </c>
      <c r="F68" s="22">
        <v>2</v>
      </c>
      <c r="G68" s="22">
        <v>2</v>
      </c>
      <c r="H68" s="22">
        <v>0</v>
      </c>
      <c r="I68" s="22">
        <v>0</v>
      </c>
      <c r="J68" s="22">
        <v>0</v>
      </c>
      <c r="K68" s="22">
        <v>0</v>
      </c>
      <c r="L68" s="22">
        <v>1</v>
      </c>
      <c r="M68" s="22">
        <v>0</v>
      </c>
    </row>
    <row r="69" spans="1:13">
      <c r="A69" s="26">
        <v>13</v>
      </c>
      <c r="B69" s="243" t="s">
        <v>297</v>
      </c>
      <c r="C69" s="291">
        <v>45796</v>
      </c>
      <c r="D69" s="26"/>
      <c r="E69" s="26"/>
      <c r="F69" s="27">
        <v>13</v>
      </c>
      <c r="G69" s="27">
        <v>13</v>
      </c>
      <c r="H69" s="27"/>
      <c r="I69" s="27"/>
      <c r="J69" s="27"/>
      <c r="K69" s="27"/>
      <c r="L69" s="27">
        <v>1</v>
      </c>
      <c r="M69" s="27">
        <v>0</v>
      </c>
    </row>
    <row r="70" spans="1:13">
      <c r="A70" s="125">
        <v>14</v>
      </c>
      <c r="B70" s="28" t="s">
        <v>319</v>
      </c>
      <c r="C70" s="20">
        <v>45797</v>
      </c>
      <c r="D70" s="20">
        <v>45806</v>
      </c>
      <c r="E70" s="129" t="s">
        <v>36</v>
      </c>
      <c r="F70" s="22">
        <v>10</v>
      </c>
      <c r="G70" s="22">
        <v>10</v>
      </c>
      <c r="H70" s="22">
        <v>1</v>
      </c>
      <c r="I70" s="22">
        <v>0</v>
      </c>
      <c r="J70" s="22">
        <v>0</v>
      </c>
      <c r="K70" s="22">
        <v>0</v>
      </c>
      <c r="L70" s="22">
        <v>1</v>
      </c>
      <c r="M70" s="22">
        <v>0</v>
      </c>
    </row>
    <row r="71" spans="1:13">
      <c r="A71" s="254">
        <v>15</v>
      </c>
      <c r="B71" s="164" t="s">
        <v>241</v>
      </c>
      <c r="C71" s="200">
        <v>45801</v>
      </c>
      <c r="D71" s="200">
        <v>45807</v>
      </c>
      <c r="E71" s="254" t="s">
        <v>255</v>
      </c>
      <c r="F71" s="189">
        <v>7</v>
      </c>
      <c r="G71" s="189">
        <v>6</v>
      </c>
      <c r="H71" s="189">
        <v>1</v>
      </c>
      <c r="I71" s="189">
        <v>0</v>
      </c>
      <c r="J71" s="189">
        <v>0</v>
      </c>
      <c r="K71" s="189">
        <v>0</v>
      </c>
      <c r="L71" s="189">
        <v>1</v>
      </c>
      <c r="M71" s="189">
        <v>0</v>
      </c>
    </row>
    <row r="72" spans="1:13">
      <c r="A72" s="26">
        <v>16</v>
      </c>
      <c r="B72" s="422" t="s">
        <v>353</v>
      </c>
      <c r="C72" s="291">
        <v>45802</v>
      </c>
      <c r="D72" s="26"/>
      <c r="E72" s="26"/>
      <c r="F72" s="27">
        <v>7</v>
      </c>
      <c r="G72" s="27">
        <v>7</v>
      </c>
      <c r="H72" s="27"/>
      <c r="I72" s="27"/>
      <c r="J72" s="27"/>
      <c r="K72" s="27"/>
      <c r="L72" s="27">
        <v>0</v>
      </c>
      <c r="M72" s="27">
        <v>1</v>
      </c>
    </row>
    <row r="73" spans="1:13">
      <c r="A73" s="26">
        <v>17</v>
      </c>
      <c r="B73" s="24" t="s">
        <v>320</v>
      </c>
      <c r="C73" s="291">
        <v>45807</v>
      </c>
      <c r="D73" s="26"/>
      <c r="E73" s="26"/>
      <c r="F73" s="27">
        <v>2</v>
      </c>
      <c r="G73" s="27">
        <v>2</v>
      </c>
      <c r="H73" s="27"/>
      <c r="I73" s="27"/>
      <c r="J73" s="27"/>
      <c r="K73" s="27"/>
      <c r="L73" s="27">
        <v>1</v>
      </c>
      <c r="M73" s="27">
        <v>0</v>
      </c>
    </row>
    <row r="74" spans="1:13">
      <c r="A74" s="26">
        <v>18</v>
      </c>
      <c r="B74" s="243" t="s">
        <v>308</v>
      </c>
      <c r="C74" s="291">
        <v>45808</v>
      </c>
      <c r="D74" s="26"/>
      <c r="E74" s="26"/>
      <c r="F74" s="27">
        <v>1</v>
      </c>
      <c r="G74" s="27">
        <v>1</v>
      </c>
      <c r="H74" s="27"/>
      <c r="I74" s="27"/>
      <c r="J74" s="27"/>
      <c r="K74" s="27"/>
      <c r="L74" s="27">
        <v>1</v>
      </c>
      <c r="M74" s="27">
        <v>0</v>
      </c>
    </row>
    <row r="75" spans="1:13">
      <c r="A75" s="103"/>
      <c r="B75" s="104"/>
      <c r="C75" s="104"/>
      <c r="D75" s="104"/>
      <c r="E75" s="105"/>
      <c r="F75" s="196">
        <v>125</v>
      </c>
      <c r="G75" s="153">
        <v>116</v>
      </c>
      <c r="H75" s="107">
        <v>11</v>
      </c>
      <c r="I75" s="153">
        <v>0</v>
      </c>
      <c r="J75" s="153">
        <v>0</v>
      </c>
      <c r="K75" s="153">
        <v>0</v>
      </c>
      <c r="L75" s="153">
        <v>15</v>
      </c>
      <c r="M75" s="153">
        <v>3</v>
      </c>
    </row>
    <row r="76" spans="1:13">
      <c r="A76" s="108"/>
      <c r="B76" s="147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54"/>
    </row>
    <row r="77" spans="1:13" ht="38.25">
      <c r="A77" s="111"/>
      <c r="B77" s="148"/>
      <c r="C77" s="112" t="s">
        <v>91</v>
      </c>
      <c r="D77" s="113" t="s">
        <v>92</v>
      </c>
      <c r="E77" s="112" t="s">
        <v>93</v>
      </c>
      <c r="F77" s="113" t="s">
        <v>94</v>
      </c>
      <c r="G77" s="113" t="s">
        <v>95</v>
      </c>
      <c r="H77" s="113" t="s">
        <v>96</v>
      </c>
      <c r="I77" s="113" t="s">
        <v>97</v>
      </c>
      <c r="J77" s="113" t="s">
        <v>98</v>
      </c>
      <c r="K77" s="112" t="s">
        <v>99</v>
      </c>
      <c r="L77" s="138" t="s">
        <v>100</v>
      </c>
      <c r="M77" s="112" t="s">
        <v>101</v>
      </c>
    </row>
    <row r="78" spans="1:13">
      <c r="A78" s="111"/>
      <c r="B78" s="114"/>
      <c r="C78" s="115">
        <v>4</v>
      </c>
      <c r="D78" s="115">
        <v>31</v>
      </c>
      <c r="E78" s="115">
        <v>124</v>
      </c>
      <c r="F78" s="116">
        <f>F75</f>
        <v>125</v>
      </c>
      <c r="G78" s="117">
        <f>F78/E78</f>
        <v>1.00806451612903</v>
      </c>
      <c r="H78" s="118">
        <f>F75/H75</f>
        <v>11.363636363636401</v>
      </c>
      <c r="I78" s="139">
        <f>I75/(L75+M75)</f>
        <v>0</v>
      </c>
      <c r="J78" s="139" t="e">
        <f>J75/I75</f>
        <v>#DIV/0!</v>
      </c>
      <c r="K78" s="140" t="e">
        <f>K75/(I75)</f>
        <v>#DIV/0!</v>
      </c>
      <c r="L78" s="141">
        <f>L75/(L75+M75)</f>
        <v>0.83333333333333304</v>
      </c>
      <c r="M78" s="140">
        <f>M75/(L75+M75)</f>
        <v>0.16666666666666699</v>
      </c>
    </row>
    <row r="82" spans="1:13">
      <c r="B82" t="s">
        <v>354</v>
      </c>
    </row>
    <row r="83" spans="1:13" ht="25.5">
      <c r="A83" s="7" t="s">
        <v>1</v>
      </c>
      <c r="B83" s="10" t="s">
        <v>2</v>
      </c>
      <c r="C83" s="7" t="s">
        <v>3</v>
      </c>
      <c r="D83" s="7" t="s">
        <v>4</v>
      </c>
      <c r="E83" s="8" t="s">
        <v>5</v>
      </c>
      <c r="F83" s="9" t="s">
        <v>6</v>
      </c>
      <c r="G83" s="7" t="s">
        <v>7</v>
      </c>
      <c r="H83" s="10" t="s">
        <v>8</v>
      </c>
      <c r="I83" s="10" t="s">
        <v>9</v>
      </c>
      <c r="J83" s="8" t="s">
        <v>10</v>
      </c>
      <c r="K83" s="134" t="s">
        <v>11</v>
      </c>
      <c r="L83" s="135" t="s">
        <v>12</v>
      </c>
      <c r="M83" s="134" t="s">
        <v>13</v>
      </c>
    </row>
    <row r="84" spans="1:13">
      <c r="A84" s="423">
        <v>1</v>
      </c>
      <c r="B84" s="424" t="s">
        <v>355</v>
      </c>
      <c r="C84" s="425" t="s">
        <v>356</v>
      </c>
      <c r="D84" s="20">
        <v>45783</v>
      </c>
      <c r="E84" s="129" t="s">
        <v>36</v>
      </c>
      <c r="F84" s="22">
        <v>6</v>
      </c>
      <c r="G84" s="22">
        <v>6</v>
      </c>
      <c r="H84" s="332">
        <v>1</v>
      </c>
      <c r="I84" s="22">
        <v>0</v>
      </c>
      <c r="J84" s="22">
        <v>0</v>
      </c>
      <c r="K84" s="22">
        <v>0</v>
      </c>
      <c r="L84" s="438">
        <v>1</v>
      </c>
      <c r="M84" s="439">
        <v>0</v>
      </c>
    </row>
    <row r="85" spans="1:13">
      <c r="A85" s="426">
        <v>2</v>
      </c>
      <c r="B85" s="427" t="s">
        <v>310</v>
      </c>
      <c r="C85" s="428" t="s">
        <v>357</v>
      </c>
      <c r="D85" s="20">
        <v>45785</v>
      </c>
      <c r="E85" s="129" t="s">
        <v>36</v>
      </c>
      <c r="F85" s="22">
        <v>8</v>
      </c>
      <c r="G85" s="22">
        <v>8</v>
      </c>
      <c r="H85" s="332">
        <v>1</v>
      </c>
      <c r="I85" s="22">
        <v>0</v>
      </c>
      <c r="J85" s="22">
        <v>0</v>
      </c>
      <c r="K85" s="22">
        <v>0</v>
      </c>
      <c r="L85" s="403">
        <v>1</v>
      </c>
      <c r="M85" s="404">
        <v>0</v>
      </c>
    </row>
    <row r="86" spans="1:13">
      <c r="A86" s="85">
        <v>3</v>
      </c>
      <c r="B86" s="28" t="s">
        <v>358</v>
      </c>
      <c r="C86" s="151">
        <v>45777</v>
      </c>
      <c r="D86" s="382" t="s">
        <v>359</v>
      </c>
      <c r="E86" s="129" t="s">
        <v>36</v>
      </c>
      <c r="F86" s="403">
        <v>8</v>
      </c>
      <c r="G86" s="403">
        <v>8</v>
      </c>
      <c r="H86" s="403">
        <v>1</v>
      </c>
      <c r="I86" s="440">
        <v>0</v>
      </c>
      <c r="J86" s="440">
        <v>0</v>
      </c>
      <c r="K86" s="440">
        <v>0</v>
      </c>
      <c r="L86" s="441">
        <v>0</v>
      </c>
      <c r="M86" s="442">
        <v>1</v>
      </c>
    </row>
    <row r="87" spans="1:13">
      <c r="A87" s="90">
        <v>4</v>
      </c>
      <c r="B87" s="429" t="s">
        <v>353</v>
      </c>
      <c r="C87" s="430">
        <v>45784</v>
      </c>
      <c r="D87" s="431">
        <v>45802</v>
      </c>
      <c r="E87" s="52" t="s">
        <v>250</v>
      </c>
      <c r="F87" s="432">
        <v>19</v>
      </c>
      <c r="G87" s="432">
        <v>18</v>
      </c>
      <c r="H87" s="433">
        <v>1</v>
      </c>
      <c r="I87" s="432">
        <v>0</v>
      </c>
      <c r="J87" s="432">
        <v>0</v>
      </c>
      <c r="K87" s="432">
        <v>0</v>
      </c>
      <c r="L87" s="432">
        <v>0</v>
      </c>
      <c r="M87" s="53">
        <v>1</v>
      </c>
    </row>
    <row r="88" spans="1:13">
      <c r="A88" s="90">
        <v>5</v>
      </c>
      <c r="B88" s="86" t="s">
        <v>297</v>
      </c>
      <c r="C88" s="430">
        <v>45785</v>
      </c>
      <c r="D88" s="176">
        <v>45796</v>
      </c>
      <c r="E88" s="52" t="s">
        <v>250</v>
      </c>
      <c r="F88" s="192">
        <v>11</v>
      </c>
      <c r="G88" s="192">
        <v>10</v>
      </c>
      <c r="H88" s="351">
        <v>1</v>
      </c>
      <c r="I88" s="192">
        <v>0</v>
      </c>
      <c r="J88" s="192">
        <v>0</v>
      </c>
      <c r="K88" s="192">
        <v>0</v>
      </c>
      <c r="L88" s="432">
        <v>0</v>
      </c>
      <c r="M88" s="53">
        <v>1</v>
      </c>
    </row>
    <row r="89" spans="1:13">
      <c r="A89" s="85">
        <v>6</v>
      </c>
      <c r="B89" s="311" t="s">
        <v>348</v>
      </c>
      <c r="C89" s="150">
        <v>45785</v>
      </c>
      <c r="D89" s="434">
        <v>45804</v>
      </c>
      <c r="E89" s="129" t="s">
        <v>36</v>
      </c>
      <c r="F89" s="435">
        <v>20</v>
      </c>
      <c r="G89" s="435">
        <v>20</v>
      </c>
      <c r="H89" s="436">
        <v>1</v>
      </c>
      <c r="I89" s="435">
        <v>0</v>
      </c>
      <c r="J89" s="435">
        <v>0</v>
      </c>
      <c r="K89" s="435">
        <v>0</v>
      </c>
      <c r="L89" s="435">
        <v>0</v>
      </c>
      <c r="M89" s="31">
        <v>1</v>
      </c>
    </row>
    <row r="90" spans="1:13">
      <c r="A90" s="27">
        <v>7</v>
      </c>
      <c r="B90" s="422" t="s">
        <v>322</v>
      </c>
      <c r="C90" s="437">
        <v>45796</v>
      </c>
      <c r="D90" s="26"/>
      <c r="E90" s="26"/>
      <c r="F90" s="27">
        <v>13</v>
      </c>
      <c r="G90" s="27">
        <v>13</v>
      </c>
      <c r="H90" s="358">
        <v>0</v>
      </c>
      <c r="I90" s="358">
        <v>0</v>
      </c>
      <c r="J90" s="358">
        <v>0</v>
      </c>
      <c r="K90" s="358">
        <v>0</v>
      </c>
      <c r="L90" s="27">
        <v>1</v>
      </c>
      <c r="M90" s="27">
        <v>0</v>
      </c>
    </row>
    <row r="91" spans="1:13">
      <c r="A91" s="268">
        <v>8</v>
      </c>
      <c r="B91" s="86" t="s">
        <v>308</v>
      </c>
      <c r="C91" s="176">
        <v>45802</v>
      </c>
      <c r="D91" s="176">
        <v>45807</v>
      </c>
      <c r="E91" s="52" t="s">
        <v>250</v>
      </c>
      <c r="F91" s="192">
        <v>6</v>
      </c>
      <c r="G91" s="192">
        <v>5</v>
      </c>
      <c r="H91" s="192">
        <v>0</v>
      </c>
      <c r="I91" s="192">
        <v>0</v>
      </c>
      <c r="J91" s="192">
        <v>0</v>
      </c>
      <c r="K91" s="192">
        <v>0</v>
      </c>
      <c r="L91" s="192">
        <v>1</v>
      </c>
      <c r="M91" s="192">
        <v>0</v>
      </c>
    </row>
    <row r="92" spans="1:13">
      <c r="A92" s="26">
        <v>9</v>
      </c>
      <c r="B92" s="243" t="s">
        <v>330</v>
      </c>
      <c r="C92" s="291">
        <v>45804</v>
      </c>
      <c r="D92" s="26"/>
      <c r="E92" s="26"/>
      <c r="F92" s="27">
        <v>5</v>
      </c>
      <c r="G92" s="27">
        <v>5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1</v>
      </c>
    </row>
    <row r="93" spans="1:13">
      <c r="A93" s="26">
        <v>10</v>
      </c>
      <c r="B93" s="243" t="s">
        <v>241</v>
      </c>
      <c r="C93" s="291">
        <v>45807</v>
      </c>
      <c r="D93" s="26"/>
      <c r="E93" s="26"/>
      <c r="F93" s="27">
        <v>2</v>
      </c>
      <c r="G93" s="27">
        <v>2</v>
      </c>
      <c r="H93" s="26"/>
      <c r="I93" s="26"/>
      <c r="J93" s="26"/>
      <c r="K93" s="26"/>
      <c r="L93" s="27">
        <v>1</v>
      </c>
      <c r="M93" s="27">
        <v>0</v>
      </c>
    </row>
    <row r="94" spans="1:13">
      <c r="A94" s="103"/>
      <c r="B94" s="104"/>
      <c r="C94" s="104"/>
      <c r="D94" s="104"/>
      <c r="E94" s="105"/>
      <c r="F94" s="196">
        <v>98</v>
      </c>
      <c r="G94" s="153">
        <v>95</v>
      </c>
      <c r="H94" s="107">
        <v>6</v>
      </c>
      <c r="I94" s="153">
        <v>0</v>
      </c>
      <c r="J94" s="153">
        <v>0</v>
      </c>
      <c r="K94" s="153">
        <v>0</v>
      </c>
      <c r="L94" s="153">
        <v>5</v>
      </c>
      <c r="M94" s="153">
        <v>5</v>
      </c>
    </row>
    <row r="95" spans="1:13">
      <c r="A95" s="108"/>
      <c r="B95" s="147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54"/>
    </row>
    <row r="96" spans="1:13" ht="38.25">
      <c r="A96" s="111"/>
      <c r="B96" s="148"/>
      <c r="C96" s="112" t="s">
        <v>91</v>
      </c>
      <c r="D96" s="113" t="s">
        <v>92</v>
      </c>
      <c r="E96" s="112" t="s">
        <v>93</v>
      </c>
      <c r="F96" s="113" t="s">
        <v>94</v>
      </c>
      <c r="G96" s="113" t="s">
        <v>95</v>
      </c>
      <c r="H96" s="113" t="s">
        <v>96</v>
      </c>
      <c r="I96" s="113" t="s">
        <v>97</v>
      </c>
      <c r="J96" s="113" t="s">
        <v>98</v>
      </c>
      <c r="K96" s="112" t="s">
        <v>99</v>
      </c>
      <c r="L96" s="138" t="s">
        <v>100</v>
      </c>
      <c r="M96" s="112" t="s">
        <v>101</v>
      </c>
    </row>
    <row r="97" spans="1:13">
      <c r="A97" s="111"/>
      <c r="B97" s="114"/>
      <c r="C97" s="115">
        <v>3</v>
      </c>
      <c r="D97" s="115">
        <v>31</v>
      </c>
      <c r="E97" s="115">
        <v>93</v>
      </c>
      <c r="F97" s="116">
        <f>F94</f>
        <v>98</v>
      </c>
      <c r="G97" s="117">
        <f>F97/E97</f>
        <v>1.0537634408602199</v>
      </c>
      <c r="H97" s="118">
        <f>F94/H94</f>
        <v>16.3333333333333</v>
      </c>
      <c r="I97" s="139">
        <f>I94/(L94+M94)</f>
        <v>0</v>
      </c>
      <c r="J97" s="139" t="e">
        <f>J94/I94</f>
        <v>#DIV/0!</v>
      </c>
      <c r="K97" s="140" t="e">
        <f>K94/(I94)</f>
        <v>#DIV/0!</v>
      </c>
      <c r="L97" s="141">
        <f>L94/(L94+M94)</f>
        <v>0.5</v>
      </c>
      <c r="M97" s="140">
        <f>M94/(L94+M94)</f>
        <v>0.5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M83"/>
  <sheetViews>
    <sheetView topLeftCell="A13" workbookViewId="0">
      <selection activeCell="C42" sqref="C42"/>
    </sheetView>
  </sheetViews>
  <sheetFormatPr defaultColWidth="9" defaultRowHeight="15"/>
  <cols>
    <col min="1" max="1" width="4.5703125" customWidth="1"/>
    <col min="2" max="2" width="36" customWidth="1"/>
    <col min="3" max="3" width="12.5703125" customWidth="1"/>
    <col min="4" max="4" width="12.28515625" customWidth="1"/>
    <col min="5" max="5" width="14.7109375" customWidth="1"/>
    <col min="7" max="7" width="9.28515625" customWidth="1"/>
  </cols>
  <sheetData>
    <row r="1" spans="1:13">
      <c r="A1" s="666" t="s">
        <v>360</v>
      </c>
      <c r="B1" s="666"/>
      <c r="C1" s="666"/>
      <c r="D1" s="666"/>
      <c r="E1" s="666"/>
      <c r="F1" s="666"/>
      <c r="G1" s="1">
        <v>45809</v>
      </c>
      <c r="H1" s="2"/>
      <c r="I1" s="2"/>
      <c r="J1" s="2"/>
      <c r="K1" s="2"/>
      <c r="L1" s="2"/>
      <c r="M1" s="2"/>
    </row>
    <row r="3" spans="1:13">
      <c r="B3" s="3" t="s">
        <v>246</v>
      </c>
    </row>
    <row r="4" spans="1:13" ht="25.5">
      <c r="A4" s="4" t="s">
        <v>1</v>
      </c>
      <c r="B4" s="10" t="s">
        <v>2</v>
      </c>
      <c r="C4" s="155" t="s">
        <v>3</v>
      </c>
      <c r="D4" s="7" t="s">
        <v>4</v>
      </c>
      <c r="E4" s="8" t="s">
        <v>5</v>
      </c>
      <c r="F4" s="9" t="s">
        <v>6</v>
      </c>
      <c r="G4" s="7" t="s">
        <v>7</v>
      </c>
      <c r="H4" s="10" t="s">
        <v>8</v>
      </c>
      <c r="I4" s="10" t="s">
        <v>9</v>
      </c>
      <c r="J4" s="8" t="s">
        <v>10</v>
      </c>
      <c r="K4" s="134" t="s">
        <v>11</v>
      </c>
      <c r="L4" s="135" t="s">
        <v>12</v>
      </c>
      <c r="M4" s="134" t="s">
        <v>13</v>
      </c>
    </row>
    <row r="5" spans="1:13">
      <c r="A5" s="292">
        <v>1</v>
      </c>
      <c r="B5" s="28" t="s">
        <v>264</v>
      </c>
      <c r="C5" s="293">
        <v>45720</v>
      </c>
      <c r="D5" s="294">
        <v>45828</v>
      </c>
      <c r="E5" s="21" t="s">
        <v>36</v>
      </c>
      <c r="F5" s="295">
        <v>20</v>
      </c>
      <c r="G5" s="295">
        <v>20</v>
      </c>
      <c r="H5" s="296">
        <v>1</v>
      </c>
      <c r="I5" s="292">
        <v>0</v>
      </c>
      <c r="J5" s="292">
        <v>0</v>
      </c>
      <c r="K5" s="292">
        <v>0</v>
      </c>
      <c r="L5" s="292">
        <v>0</v>
      </c>
      <c r="M5" s="85">
        <v>1</v>
      </c>
    </row>
    <row r="6" spans="1:13">
      <c r="A6" s="297">
        <v>2</v>
      </c>
      <c r="B6" s="37" t="s">
        <v>299</v>
      </c>
      <c r="C6" s="298">
        <v>45758</v>
      </c>
      <c r="D6" s="162">
        <v>45822</v>
      </c>
      <c r="E6" s="40" t="s">
        <v>17</v>
      </c>
      <c r="F6" s="36">
        <v>14</v>
      </c>
      <c r="G6" s="36">
        <v>14</v>
      </c>
      <c r="H6" s="299">
        <v>1</v>
      </c>
      <c r="I6" s="72">
        <v>1</v>
      </c>
      <c r="J6" s="72">
        <v>1</v>
      </c>
      <c r="K6" s="72">
        <v>0</v>
      </c>
      <c r="L6" s="72">
        <v>0</v>
      </c>
      <c r="M6" s="72">
        <v>1</v>
      </c>
    </row>
    <row r="7" spans="1:13">
      <c r="A7" s="189">
        <v>3</v>
      </c>
      <c r="B7" s="164" t="s">
        <v>324</v>
      </c>
      <c r="C7" s="186">
        <v>45786</v>
      </c>
      <c r="D7" s="200">
        <v>45816</v>
      </c>
      <c r="E7" s="238" t="s">
        <v>255</v>
      </c>
      <c r="F7" s="249">
        <v>8</v>
      </c>
      <c r="G7" s="249">
        <v>7</v>
      </c>
      <c r="H7" s="189">
        <v>1</v>
      </c>
      <c r="I7" s="189">
        <v>0</v>
      </c>
      <c r="J7" s="189">
        <v>0</v>
      </c>
      <c r="K7" s="189">
        <v>0</v>
      </c>
      <c r="L7" s="189">
        <v>1</v>
      </c>
      <c r="M7" s="189">
        <v>0</v>
      </c>
    </row>
    <row r="8" spans="1:13">
      <c r="A8" s="204">
        <v>4</v>
      </c>
      <c r="B8" s="86" t="s">
        <v>325</v>
      </c>
      <c r="C8" s="89">
        <v>45789</v>
      </c>
      <c r="D8" s="212">
        <v>45812</v>
      </c>
      <c r="E8" s="52" t="s">
        <v>250</v>
      </c>
      <c r="F8" s="174">
        <v>4</v>
      </c>
      <c r="G8" s="174">
        <v>3</v>
      </c>
      <c r="H8" s="204">
        <v>1</v>
      </c>
      <c r="I8" s="204">
        <v>0</v>
      </c>
      <c r="J8" s="204">
        <v>0</v>
      </c>
      <c r="K8" s="204">
        <v>0</v>
      </c>
      <c r="L8" s="204">
        <v>0</v>
      </c>
      <c r="M8" s="204">
        <v>1</v>
      </c>
    </row>
    <row r="9" spans="1:13">
      <c r="A9" s="201">
        <v>5</v>
      </c>
      <c r="B9" s="37" t="s">
        <v>326</v>
      </c>
      <c r="C9" s="39">
        <v>45789</v>
      </c>
      <c r="D9" s="300">
        <v>45816</v>
      </c>
      <c r="E9" s="40" t="s">
        <v>17</v>
      </c>
      <c r="F9" s="36">
        <v>8</v>
      </c>
      <c r="G9" s="36">
        <v>8</v>
      </c>
      <c r="H9" s="201">
        <v>1</v>
      </c>
      <c r="I9" s="201">
        <v>1</v>
      </c>
      <c r="J9" s="201">
        <v>1</v>
      </c>
      <c r="K9" s="201">
        <v>0</v>
      </c>
      <c r="L9" s="201">
        <v>0</v>
      </c>
      <c r="M9" s="201">
        <v>1</v>
      </c>
    </row>
    <row r="10" spans="1:13">
      <c r="A10" s="72">
        <v>6</v>
      </c>
      <c r="B10" s="37" t="s">
        <v>328</v>
      </c>
      <c r="C10" s="45">
        <v>45791</v>
      </c>
      <c r="D10" s="162">
        <v>45817</v>
      </c>
      <c r="E10" s="40" t="s">
        <v>17</v>
      </c>
      <c r="F10" s="36">
        <v>9</v>
      </c>
      <c r="G10" s="36">
        <v>9</v>
      </c>
      <c r="H10" s="299">
        <v>1</v>
      </c>
      <c r="I10" s="72">
        <v>1</v>
      </c>
      <c r="J10" s="72">
        <v>1</v>
      </c>
      <c r="K10" s="72">
        <v>0</v>
      </c>
      <c r="L10" s="72">
        <v>0</v>
      </c>
      <c r="M10" s="72">
        <v>1</v>
      </c>
    </row>
    <row r="11" spans="1:13">
      <c r="A11" s="102">
        <v>7</v>
      </c>
      <c r="B11" s="28" t="s">
        <v>332</v>
      </c>
      <c r="C11" s="151">
        <v>45796</v>
      </c>
      <c r="D11" s="84">
        <v>45825</v>
      </c>
      <c r="E11" s="21" t="s">
        <v>36</v>
      </c>
      <c r="F11" s="244">
        <v>17</v>
      </c>
      <c r="G11" s="244">
        <v>17</v>
      </c>
      <c r="H11" s="102">
        <v>1</v>
      </c>
      <c r="I11" s="102">
        <v>0</v>
      </c>
      <c r="J11" s="102">
        <v>0</v>
      </c>
      <c r="K11" s="102">
        <v>0</v>
      </c>
      <c r="L11" s="102">
        <v>1</v>
      </c>
      <c r="M11" s="102">
        <v>0</v>
      </c>
    </row>
    <row r="12" spans="1:13">
      <c r="A12" s="192">
        <v>8</v>
      </c>
      <c r="B12" s="86" t="s">
        <v>333</v>
      </c>
      <c r="C12" s="301">
        <v>45796</v>
      </c>
      <c r="D12" s="176">
        <v>45809</v>
      </c>
      <c r="E12" s="52" t="s">
        <v>250</v>
      </c>
      <c r="F12" s="174">
        <v>1</v>
      </c>
      <c r="G12" s="174">
        <v>1</v>
      </c>
      <c r="H12" s="192">
        <v>1</v>
      </c>
      <c r="I12" s="192">
        <v>0</v>
      </c>
      <c r="J12" s="192">
        <v>0</v>
      </c>
      <c r="K12" s="192">
        <v>0</v>
      </c>
      <c r="L12" s="192">
        <v>1</v>
      </c>
      <c r="M12" s="192">
        <v>0</v>
      </c>
    </row>
    <row r="13" spans="1:13">
      <c r="A13" s="27">
        <v>9</v>
      </c>
      <c r="B13" s="275" t="s">
        <v>334</v>
      </c>
      <c r="C13" s="152">
        <v>45797</v>
      </c>
      <c r="D13" s="26"/>
      <c r="E13" s="26"/>
      <c r="F13" s="302">
        <v>30</v>
      </c>
      <c r="G13" s="302">
        <v>30</v>
      </c>
      <c r="H13" s="27"/>
      <c r="I13" s="27"/>
      <c r="J13" s="27"/>
      <c r="K13" s="27"/>
      <c r="L13" s="27">
        <v>1</v>
      </c>
      <c r="M13" s="27">
        <v>0</v>
      </c>
    </row>
    <row r="14" spans="1:13">
      <c r="A14" s="204">
        <v>10</v>
      </c>
      <c r="B14" s="86" t="s">
        <v>335</v>
      </c>
      <c r="C14" s="89">
        <v>45798</v>
      </c>
      <c r="D14" s="212">
        <v>45812</v>
      </c>
      <c r="E14" s="52" t="s">
        <v>250</v>
      </c>
      <c r="F14" s="174">
        <v>4</v>
      </c>
      <c r="G14" s="174">
        <v>3</v>
      </c>
      <c r="H14" s="204">
        <v>1</v>
      </c>
      <c r="I14" s="204">
        <v>0</v>
      </c>
      <c r="J14" s="204">
        <v>0</v>
      </c>
      <c r="K14" s="204">
        <v>0</v>
      </c>
      <c r="L14" s="204">
        <v>0</v>
      </c>
      <c r="M14" s="204">
        <v>1</v>
      </c>
    </row>
    <row r="15" spans="1:13">
      <c r="A15" s="204">
        <v>11</v>
      </c>
      <c r="B15" s="86" t="s">
        <v>336</v>
      </c>
      <c r="C15" s="89">
        <v>45799</v>
      </c>
      <c r="D15" s="212">
        <v>45826</v>
      </c>
      <c r="E15" s="52" t="s">
        <v>250</v>
      </c>
      <c r="F15" s="174">
        <v>18</v>
      </c>
      <c r="G15" s="174">
        <v>17</v>
      </c>
      <c r="H15" s="204">
        <v>1</v>
      </c>
      <c r="I15" s="204">
        <v>0</v>
      </c>
      <c r="J15" s="204">
        <v>0</v>
      </c>
      <c r="K15" s="204">
        <v>0</v>
      </c>
      <c r="L15" s="204">
        <v>0</v>
      </c>
      <c r="M15" s="204">
        <v>1</v>
      </c>
    </row>
    <row r="16" spans="1:13">
      <c r="A16" s="204">
        <v>12</v>
      </c>
      <c r="B16" s="86" t="s">
        <v>337</v>
      </c>
      <c r="C16" s="89">
        <v>45801</v>
      </c>
      <c r="D16" s="212">
        <v>45838</v>
      </c>
      <c r="E16" s="52" t="s">
        <v>250</v>
      </c>
      <c r="F16" s="174">
        <v>30</v>
      </c>
      <c r="G16" s="174">
        <v>29</v>
      </c>
      <c r="H16" s="204">
        <v>1</v>
      </c>
      <c r="I16" s="204">
        <v>0</v>
      </c>
      <c r="J16" s="204">
        <v>0</v>
      </c>
      <c r="K16" s="204">
        <v>0</v>
      </c>
      <c r="L16" s="204">
        <v>1</v>
      </c>
      <c r="M16" s="204">
        <v>0</v>
      </c>
    </row>
    <row r="17" spans="1:13">
      <c r="A17" s="204">
        <v>13</v>
      </c>
      <c r="B17" s="86" t="s">
        <v>338</v>
      </c>
      <c r="C17" s="89">
        <v>45802</v>
      </c>
      <c r="D17" s="212">
        <v>45838</v>
      </c>
      <c r="E17" s="52" t="s">
        <v>250</v>
      </c>
      <c r="F17" s="174">
        <v>30</v>
      </c>
      <c r="G17" s="174">
        <v>29</v>
      </c>
      <c r="H17" s="204">
        <v>1</v>
      </c>
      <c r="I17" s="204">
        <v>0</v>
      </c>
      <c r="J17" s="204">
        <v>0</v>
      </c>
      <c r="K17" s="204">
        <v>0</v>
      </c>
      <c r="L17" s="204">
        <v>1</v>
      </c>
      <c r="M17" s="204">
        <v>0</v>
      </c>
    </row>
    <row r="18" spans="1:13">
      <c r="A18" s="237">
        <v>14</v>
      </c>
      <c r="B18" s="18" t="s">
        <v>339</v>
      </c>
      <c r="C18" s="55">
        <v>45801</v>
      </c>
      <c r="D18" s="303">
        <v>45810</v>
      </c>
      <c r="E18" s="129" t="s">
        <v>36</v>
      </c>
      <c r="F18" s="244">
        <v>2</v>
      </c>
      <c r="G18" s="244">
        <v>2</v>
      </c>
      <c r="H18" s="237">
        <v>1</v>
      </c>
      <c r="I18" s="237">
        <v>0</v>
      </c>
      <c r="J18" s="237">
        <v>0</v>
      </c>
      <c r="K18" s="237">
        <v>0</v>
      </c>
      <c r="L18" s="237">
        <v>1</v>
      </c>
      <c r="M18" s="237">
        <v>0</v>
      </c>
    </row>
    <row r="19" spans="1:13">
      <c r="A19" s="31">
        <v>15</v>
      </c>
      <c r="B19" s="28" t="s">
        <v>361</v>
      </c>
      <c r="C19" s="55">
        <v>45803</v>
      </c>
      <c r="D19" s="20">
        <v>45834</v>
      </c>
      <c r="E19" s="129" t="s">
        <v>36</v>
      </c>
      <c r="F19" s="244">
        <v>26</v>
      </c>
      <c r="G19" s="244">
        <v>26</v>
      </c>
      <c r="H19" s="22">
        <v>1</v>
      </c>
      <c r="I19" s="22">
        <v>0</v>
      </c>
      <c r="J19" s="22">
        <v>0</v>
      </c>
      <c r="K19" s="22">
        <v>0</v>
      </c>
      <c r="L19" s="22">
        <v>1</v>
      </c>
      <c r="M19" s="22">
        <v>0</v>
      </c>
    </row>
    <row r="20" spans="1:13">
      <c r="A20" s="27">
        <v>16</v>
      </c>
      <c r="B20" s="127" t="s">
        <v>341</v>
      </c>
      <c r="C20" s="152">
        <v>45804</v>
      </c>
      <c r="D20" s="26"/>
      <c r="E20" s="26"/>
      <c r="F20" s="302">
        <v>30</v>
      </c>
      <c r="G20" s="302">
        <v>30</v>
      </c>
      <c r="H20" s="27"/>
      <c r="I20" s="27"/>
      <c r="J20" s="27"/>
      <c r="K20" s="27"/>
      <c r="L20" s="27">
        <v>1</v>
      </c>
      <c r="M20" s="27">
        <v>0</v>
      </c>
    </row>
    <row r="21" spans="1:13">
      <c r="A21" s="22">
        <v>17</v>
      </c>
      <c r="B21" s="28" t="s">
        <v>362</v>
      </c>
      <c r="C21" s="55">
        <v>45806</v>
      </c>
      <c r="D21" s="20">
        <v>45803</v>
      </c>
      <c r="E21" s="129" t="s">
        <v>36</v>
      </c>
      <c r="F21" s="244">
        <v>26</v>
      </c>
      <c r="G21" s="244">
        <v>26</v>
      </c>
      <c r="H21" s="22">
        <v>1</v>
      </c>
      <c r="I21" s="22">
        <v>0</v>
      </c>
      <c r="J21" s="22">
        <v>0</v>
      </c>
      <c r="K21" s="22">
        <v>0</v>
      </c>
      <c r="L21" s="22">
        <v>1</v>
      </c>
      <c r="M21" s="22">
        <v>0</v>
      </c>
    </row>
    <row r="22" spans="1:13">
      <c r="A22" s="34">
        <v>18</v>
      </c>
      <c r="B22" s="145" t="s">
        <v>363</v>
      </c>
      <c r="C22" s="152">
        <v>45807</v>
      </c>
      <c r="D22" s="26"/>
      <c r="E22" s="26"/>
      <c r="F22" s="302">
        <v>30</v>
      </c>
      <c r="G22" s="302">
        <v>30</v>
      </c>
      <c r="H22" s="27"/>
      <c r="I22" s="27"/>
      <c r="J22" s="27"/>
      <c r="K22" s="27"/>
      <c r="L22" s="27">
        <v>0</v>
      </c>
      <c r="M22" s="27">
        <v>1</v>
      </c>
    </row>
    <row r="23" spans="1:13">
      <c r="A23" s="34">
        <v>19</v>
      </c>
      <c r="B23" s="145" t="s">
        <v>364</v>
      </c>
      <c r="C23" s="152">
        <v>45810</v>
      </c>
      <c r="D23" s="26"/>
      <c r="E23" s="26"/>
      <c r="F23" s="302">
        <v>29</v>
      </c>
      <c r="G23" s="302">
        <v>29</v>
      </c>
      <c r="H23" s="27"/>
      <c r="I23" s="27"/>
      <c r="J23" s="27"/>
      <c r="K23" s="27"/>
      <c r="L23" s="27">
        <v>1</v>
      </c>
      <c r="M23" s="27">
        <v>0</v>
      </c>
    </row>
    <row r="24" spans="1:13">
      <c r="A24" s="53">
        <v>20</v>
      </c>
      <c r="B24" s="87" t="s">
        <v>365</v>
      </c>
      <c r="C24" s="51">
        <v>45810</v>
      </c>
      <c r="D24" s="176">
        <v>45824</v>
      </c>
      <c r="E24" s="52" t="s">
        <v>250</v>
      </c>
      <c r="F24" s="174">
        <v>15</v>
      </c>
      <c r="G24" s="174">
        <v>14</v>
      </c>
      <c r="H24" s="192">
        <v>1</v>
      </c>
      <c r="I24" s="192">
        <v>0</v>
      </c>
      <c r="J24" s="192">
        <v>0</v>
      </c>
      <c r="K24" s="192">
        <v>0</v>
      </c>
      <c r="L24" s="192">
        <v>1</v>
      </c>
      <c r="M24" s="192">
        <v>0</v>
      </c>
    </row>
    <row r="25" spans="1:13">
      <c r="A25" s="31">
        <v>21</v>
      </c>
      <c r="B25" s="82" t="s">
        <v>366</v>
      </c>
      <c r="C25" s="55">
        <v>45812</v>
      </c>
      <c r="D25" s="20">
        <v>45828</v>
      </c>
      <c r="E25" s="129" t="s">
        <v>36</v>
      </c>
      <c r="F25" s="244">
        <v>17</v>
      </c>
      <c r="G25" s="244">
        <v>17</v>
      </c>
      <c r="H25" s="22">
        <v>1</v>
      </c>
      <c r="I25" s="22">
        <v>0</v>
      </c>
      <c r="J25" s="22">
        <v>0</v>
      </c>
      <c r="K25" s="22">
        <v>0</v>
      </c>
      <c r="L25" s="22">
        <v>0</v>
      </c>
      <c r="M25" s="22">
        <v>1</v>
      </c>
    </row>
    <row r="26" spans="1:13">
      <c r="A26" s="47">
        <v>22</v>
      </c>
      <c r="B26" s="91" t="s">
        <v>367</v>
      </c>
      <c r="C26" s="45">
        <v>45817</v>
      </c>
      <c r="D26" s="162">
        <v>45822</v>
      </c>
      <c r="E26" s="40" t="s">
        <v>17</v>
      </c>
      <c r="F26" s="36">
        <v>6</v>
      </c>
      <c r="G26" s="36">
        <v>6</v>
      </c>
      <c r="H26" s="72">
        <v>1</v>
      </c>
      <c r="I26" s="72">
        <v>1</v>
      </c>
      <c r="J26" s="72">
        <v>1</v>
      </c>
      <c r="K26" s="72">
        <v>0</v>
      </c>
      <c r="L26" s="72">
        <v>1</v>
      </c>
      <c r="M26" s="72">
        <v>0</v>
      </c>
    </row>
    <row r="27" spans="1:13">
      <c r="A27" s="172">
        <v>23</v>
      </c>
      <c r="B27" s="246" t="s">
        <v>368</v>
      </c>
      <c r="C27" s="191">
        <v>45813</v>
      </c>
      <c r="D27" s="247">
        <v>45838</v>
      </c>
      <c r="E27" s="248" t="s">
        <v>255</v>
      </c>
      <c r="F27" s="249">
        <v>26</v>
      </c>
      <c r="G27" s="249">
        <v>25</v>
      </c>
      <c r="H27" s="60">
        <v>1</v>
      </c>
      <c r="I27" s="60">
        <v>0</v>
      </c>
      <c r="J27" s="60">
        <v>0</v>
      </c>
      <c r="K27" s="60">
        <v>0</v>
      </c>
      <c r="L27" s="60">
        <v>1</v>
      </c>
      <c r="M27" s="60">
        <v>0</v>
      </c>
    </row>
    <row r="28" spans="1:13">
      <c r="A28" s="53">
        <v>24</v>
      </c>
      <c r="B28" s="87" t="s">
        <v>369</v>
      </c>
      <c r="C28" s="51">
        <v>45816</v>
      </c>
      <c r="D28" s="176">
        <v>45835</v>
      </c>
      <c r="E28" s="52" t="s">
        <v>250</v>
      </c>
      <c r="F28" s="174">
        <v>20</v>
      </c>
      <c r="G28" s="174">
        <v>19</v>
      </c>
      <c r="H28" s="192">
        <v>1</v>
      </c>
      <c r="I28" s="192">
        <v>0</v>
      </c>
      <c r="J28" s="192">
        <v>0</v>
      </c>
      <c r="K28" s="192">
        <v>0</v>
      </c>
      <c r="L28" s="192">
        <v>0</v>
      </c>
      <c r="M28" s="192">
        <v>1</v>
      </c>
    </row>
    <row r="29" spans="1:13">
      <c r="A29" s="47">
        <v>25</v>
      </c>
      <c r="B29" s="91" t="s">
        <v>370</v>
      </c>
      <c r="C29" s="45">
        <v>45819</v>
      </c>
      <c r="D29" s="162">
        <v>45830</v>
      </c>
      <c r="E29" s="40" t="s">
        <v>17</v>
      </c>
      <c r="F29" s="36">
        <v>12</v>
      </c>
      <c r="G29" s="36">
        <v>12</v>
      </c>
      <c r="H29" s="72">
        <v>1</v>
      </c>
      <c r="I29" s="72">
        <v>1</v>
      </c>
      <c r="J29" s="72">
        <v>1</v>
      </c>
      <c r="K29" s="72">
        <v>0</v>
      </c>
      <c r="L29" s="72">
        <v>1</v>
      </c>
      <c r="M29" s="72">
        <v>0</v>
      </c>
    </row>
    <row r="30" spans="1:13">
      <c r="A30" s="34">
        <v>26</v>
      </c>
      <c r="B30" s="145" t="s">
        <v>371</v>
      </c>
      <c r="C30" s="152">
        <v>45822</v>
      </c>
      <c r="D30" s="26"/>
      <c r="E30" s="26"/>
      <c r="F30" s="302">
        <v>17</v>
      </c>
      <c r="G30" s="302">
        <v>17</v>
      </c>
      <c r="H30" s="27"/>
      <c r="I30" s="27"/>
      <c r="J30" s="27"/>
      <c r="K30" s="27"/>
      <c r="L30" s="27">
        <v>1</v>
      </c>
      <c r="M30" s="27">
        <v>0</v>
      </c>
    </row>
    <row r="31" spans="1:13">
      <c r="A31" s="31">
        <v>27</v>
      </c>
      <c r="B31" s="82" t="s">
        <v>372</v>
      </c>
      <c r="C31" s="55">
        <v>45822</v>
      </c>
      <c r="D31" s="20">
        <v>45832</v>
      </c>
      <c r="E31" s="129" t="s">
        <v>36</v>
      </c>
      <c r="F31" s="244">
        <v>11</v>
      </c>
      <c r="G31" s="244">
        <v>11</v>
      </c>
      <c r="H31" s="22">
        <v>1</v>
      </c>
      <c r="I31" s="22">
        <v>0</v>
      </c>
      <c r="J31" s="22">
        <v>0</v>
      </c>
      <c r="K31" s="22">
        <v>0</v>
      </c>
      <c r="L31" s="22">
        <v>1</v>
      </c>
      <c r="M31" s="22">
        <v>0</v>
      </c>
    </row>
    <row r="32" spans="1:13">
      <c r="A32" s="34">
        <v>28</v>
      </c>
      <c r="B32" s="304" t="s">
        <v>373</v>
      </c>
      <c r="C32" s="152">
        <v>45825</v>
      </c>
      <c r="D32" s="26"/>
      <c r="E32" s="26"/>
      <c r="F32" s="302">
        <v>14</v>
      </c>
      <c r="G32" s="302">
        <v>14</v>
      </c>
      <c r="H32" s="27"/>
      <c r="I32" s="27"/>
      <c r="J32" s="27"/>
      <c r="K32" s="27"/>
      <c r="L32" s="27">
        <v>1</v>
      </c>
      <c r="M32" s="27">
        <v>0</v>
      </c>
    </row>
    <row r="33" spans="1:13">
      <c r="A33" s="34">
        <v>29</v>
      </c>
      <c r="B33" s="145" t="s">
        <v>374</v>
      </c>
      <c r="C33" s="152">
        <v>45829</v>
      </c>
      <c r="D33" s="26"/>
      <c r="E33" s="26"/>
      <c r="F33" s="302">
        <v>10</v>
      </c>
      <c r="G33" s="302">
        <v>10</v>
      </c>
      <c r="H33" s="27"/>
      <c r="I33" s="27"/>
      <c r="J33" s="27"/>
      <c r="K33" s="27"/>
      <c r="L33" s="27">
        <v>1</v>
      </c>
      <c r="M33" s="27">
        <v>0</v>
      </c>
    </row>
    <row r="34" spans="1:13">
      <c r="A34" s="47">
        <v>30</v>
      </c>
      <c r="B34" s="91" t="s">
        <v>375</v>
      </c>
      <c r="C34" s="45">
        <v>45828</v>
      </c>
      <c r="D34" s="162">
        <v>45834</v>
      </c>
      <c r="E34" s="40" t="s">
        <v>17</v>
      </c>
      <c r="F34" s="36">
        <v>7</v>
      </c>
      <c r="G34" s="36">
        <v>7</v>
      </c>
      <c r="H34" s="72">
        <v>1</v>
      </c>
      <c r="I34" s="72">
        <v>1</v>
      </c>
      <c r="J34" s="72">
        <v>1</v>
      </c>
      <c r="K34" s="72">
        <v>0</v>
      </c>
      <c r="L34" s="72">
        <v>0</v>
      </c>
      <c r="M34" s="72">
        <v>1</v>
      </c>
    </row>
    <row r="35" spans="1:13">
      <c r="A35" s="85">
        <v>31</v>
      </c>
      <c r="B35" s="82" t="s">
        <v>376</v>
      </c>
      <c r="C35" s="151">
        <v>45826</v>
      </c>
      <c r="D35" s="84">
        <v>45838</v>
      </c>
      <c r="E35" s="21" t="s">
        <v>36</v>
      </c>
      <c r="F35" s="244">
        <v>13</v>
      </c>
      <c r="G35" s="244">
        <v>13</v>
      </c>
      <c r="H35" s="102">
        <v>1</v>
      </c>
      <c r="I35" s="102">
        <v>0</v>
      </c>
      <c r="J35" s="102">
        <v>0</v>
      </c>
      <c r="K35" s="102">
        <v>0</v>
      </c>
      <c r="L35" s="102">
        <v>0</v>
      </c>
      <c r="M35" s="102">
        <v>1</v>
      </c>
    </row>
    <row r="36" spans="1:13">
      <c r="A36" s="31">
        <v>32</v>
      </c>
      <c r="B36" s="305" t="s">
        <v>377</v>
      </c>
      <c r="C36" s="20">
        <v>45828</v>
      </c>
      <c r="D36" s="20">
        <v>45831</v>
      </c>
      <c r="E36" s="129" t="s">
        <v>36</v>
      </c>
      <c r="F36" s="22">
        <v>4</v>
      </c>
      <c r="G36" s="22">
        <v>4</v>
      </c>
      <c r="H36" s="22">
        <v>1</v>
      </c>
      <c r="I36" s="22">
        <v>0</v>
      </c>
      <c r="J36" s="22">
        <v>0</v>
      </c>
      <c r="K36" s="22">
        <v>0</v>
      </c>
      <c r="L36" s="22">
        <v>0</v>
      </c>
      <c r="M36" s="22">
        <v>1</v>
      </c>
    </row>
    <row r="37" spans="1:13">
      <c r="A37" s="27">
        <v>33</v>
      </c>
      <c r="B37" s="306" t="s">
        <v>378</v>
      </c>
      <c r="C37" s="291">
        <v>45832</v>
      </c>
      <c r="D37" s="26"/>
      <c r="E37" s="26"/>
      <c r="F37" s="35">
        <v>7</v>
      </c>
      <c r="G37" s="35">
        <v>7</v>
      </c>
      <c r="H37" s="26"/>
      <c r="I37" s="26"/>
      <c r="J37" s="26"/>
      <c r="K37" s="26"/>
      <c r="L37" s="27">
        <v>1</v>
      </c>
      <c r="M37" s="27">
        <v>0</v>
      </c>
    </row>
    <row r="38" spans="1:13">
      <c r="A38" s="27">
        <v>34</v>
      </c>
      <c r="B38" s="127" t="s">
        <v>379</v>
      </c>
      <c r="C38" s="291">
        <v>45833</v>
      </c>
      <c r="D38" s="26"/>
      <c r="E38" s="26"/>
      <c r="F38" s="35">
        <v>6</v>
      </c>
      <c r="G38" s="35">
        <v>6</v>
      </c>
      <c r="H38" s="26"/>
      <c r="I38" s="26"/>
      <c r="J38" s="26"/>
      <c r="K38" s="26"/>
      <c r="L38" s="27">
        <v>1</v>
      </c>
      <c r="M38" s="27">
        <v>0</v>
      </c>
    </row>
    <row r="39" spans="1:13">
      <c r="A39" s="27">
        <v>35</v>
      </c>
      <c r="B39" s="127" t="s">
        <v>380</v>
      </c>
      <c r="C39" s="291">
        <v>45833</v>
      </c>
      <c r="D39" s="26"/>
      <c r="E39" s="26"/>
      <c r="F39" s="35">
        <v>6</v>
      </c>
      <c r="G39" s="35">
        <v>6</v>
      </c>
      <c r="H39" s="26"/>
      <c r="I39" s="26"/>
      <c r="J39" s="26"/>
      <c r="K39" s="26"/>
      <c r="L39" s="27">
        <v>0</v>
      </c>
      <c r="M39" s="27">
        <v>1</v>
      </c>
    </row>
    <row r="40" spans="1:13">
      <c r="A40" s="307">
        <v>33</v>
      </c>
      <c r="B40" s="127" t="s">
        <v>381</v>
      </c>
      <c r="C40" s="291">
        <v>45835</v>
      </c>
      <c r="D40" s="26"/>
      <c r="E40" s="26"/>
      <c r="F40" s="35">
        <v>4</v>
      </c>
      <c r="G40" s="35">
        <v>4</v>
      </c>
      <c r="H40" s="26"/>
      <c r="I40" s="26"/>
      <c r="J40" s="26"/>
      <c r="K40" s="26"/>
      <c r="L40" s="27">
        <v>1</v>
      </c>
      <c r="M40" s="27">
        <v>0</v>
      </c>
    </row>
    <row r="41" spans="1:13">
      <c r="A41" s="47">
        <v>34</v>
      </c>
      <c r="B41" s="91" t="s">
        <v>382</v>
      </c>
      <c r="C41" s="39">
        <v>45836</v>
      </c>
      <c r="D41" s="300">
        <v>45836</v>
      </c>
      <c r="E41" s="40" t="s">
        <v>17</v>
      </c>
      <c r="F41" s="36">
        <v>1</v>
      </c>
      <c r="G41" s="36">
        <v>1</v>
      </c>
      <c r="H41" s="201">
        <v>1</v>
      </c>
      <c r="I41" s="201">
        <v>1</v>
      </c>
      <c r="J41" s="201">
        <v>0</v>
      </c>
      <c r="K41" s="201">
        <v>1</v>
      </c>
      <c r="L41" s="201">
        <v>0</v>
      </c>
      <c r="M41" s="201">
        <v>1</v>
      </c>
    </row>
    <row r="42" spans="1:13">
      <c r="A42" s="27">
        <v>35</v>
      </c>
      <c r="B42" s="145" t="s">
        <v>383</v>
      </c>
      <c r="C42" s="152">
        <v>45837</v>
      </c>
      <c r="D42" s="26"/>
      <c r="E42" s="26"/>
      <c r="F42" s="302">
        <v>2</v>
      </c>
      <c r="G42" s="302">
        <v>2</v>
      </c>
      <c r="H42" s="27"/>
      <c r="I42" s="27"/>
      <c r="J42" s="27"/>
      <c r="K42" s="27"/>
      <c r="L42" s="27">
        <v>1</v>
      </c>
      <c r="M42" s="27">
        <v>0</v>
      </c>
    </row>
    <row r="43" spans="1:13">
      <c r="A43" s="308">
        <v>36</v>
      </c>
      <c r="B43" s="309" t="s">
        <v>384</v>
      </c>
      <c r="C43" s="310">
        <v>45838</v>
      </c>
      <c r="D43" s="98"/>
      <c r="E43" s="98"/>
      <c r="F43" s="99">
        <v>1</v>
      </c>
      <c r="G43" s="99">
        <v>1</v>
      </c>
      <c r="H43" s="98"/>
      <c r="I43" s="98"/>
      <c r="J43" s="98"/>
      <c r="K43" s="98"/>
      <c r="L43" s="99">
        <v>1</v>
      </c>
      <c r="M43" s="99">
        <v>0</v>
      </c>
    </row>
    <row r="44" spans="1:13">
      <c r="A44" s="26">
        <v>37</v>
      </c>
      <c r="B44" s="127" t="s">
        <v>385</v>
      </c>
      <c r="C44" s="291">
        <v>45838</v>
      </c>
      <c r="D44" s="26"/>
      <c r="E44" s="26"/>
      <c r="F44" s="27">
        <v>1</v>
      </c>
      <c r="G44" s="27">
        <v>1</v>
      </c>
      <c r="H44" s="26"/>
      <c r="I44" s="26"/>
      <c r="J44" s="26"/>
      <c r="K44" s="26"/>
      <c r="L44" s="27">
        <v>1</v>
      </c>
      <c r="M44" s="27">
        <v>0</v>
      </c>
    </row>
    <row r="45" spans="1:13">
      <c r="A45" s="103"/>
      <c r="B45" s="104"/>
      <c r="C45" s="104"/>
      <c r="D45" s="104"/>
      <c r="E45" s="105"/>
      <c r="F45" s="179">
        <v>536</v>
      </c>
      <c r="G45" s="153">
        <v>527</v>
      </c>
      <c r="H45" s="107">
        <v>24</v>
      </c>
      <c r="I45" s="153">
        <v>7</v>
      </c>
      <c r="J45" s="153">
        <v>6</v>
      </c>
      <c r="K45" s="153">
        <v>1</v>
      </c>
      <c r="L45" s="153">
        <v>23</v>
      </c>
      <c r="M45" s="153">
        <v>15</v>
      </c>
    </row>
    <row r="46" spans="1:13">
      <c r="A46" s="108"/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37"/>
    </row>
    <row r="47" spans="1:13" ht="38.25">
      <c r="A47" s="111"/>
      <c r="B47" s="109"/>
      <c r="C47" s="112" t="s">
        <v>91</v>
      </c>
      <c r="D47" s="113" t="s">
        <v>92</v>
      </c>
      <c r="E47" s="112" t="s">
        <v>93</v>
      </c>
      <c r="F47" s="113" t="s">
        <v>94</v>
      </c>
      <c r="G47" s="113" t="s">
        <v>95</v>
      </c>
      <c r="H47" s="113" t="s">
        <v>96</v>
      </c>
      <c r="I47" s="113" t="s">
        <v>97</v>
      </c>
      <c r="J47" s="113" t="s">
        <v>98</v>
      </c>
      <c r="K47" s="112" t="s">
        <v>99</v>
      </c>
      <c r="L47" s="138" t="s">
        <v>100</v>
      </c>
      <c r="M47" s="112" t="s">
        <v>101</v>
      </c>
    </row>
    <row r="48" spans="1:13">
      <c r="A48" s="111"/>
      <c r="B48" s="114"/>
      <c r="C48" s="115">
        <v>18</v>
      </c>
      <c r="D48" s="115">
        <v>30</v>
      </c>
      <c r="E48" s="115">
        <v>540</v>
      </c>
      <c r="F48" s="116">
        <f>F45</f>
        <v>536</v>
      </c>
      <c r="G48" s="117">
        <f>F48/E48</f>
        <v>0.99259259259259303</v>
      </c>
      <c r="H48" s="118">
        <f>F45/H45</f>
        <v>22.3333333333333</v>
      </c>
      <c r="I48" s="139">
        <f>I45/(L45+M45)</f>
        <v>0.18421052631578899</v>
      </c>
      <c r="J48" s="139">
        <f>J45/I45</f>
        <v>0.85714285714285698</v>
      </c>
      <c r="K48" s="140">
        <f>K45/(I45)</f>
        <v>0.14285714285714299</v>
      </c>
      <c r="L48" s="141">
        <f>L45/(L45+M45)</f>
        <v>0.60526315789473695</v>
      </c>
      <c r="M48" s="140">
        <f>M45/(L45+M45)</f>
        <v>0.394736842105263</v>
      </c>
    </row>
    <row r="49" spans="1:13">
      <c r="B49" t="s">
        <v>344</v>
      </c>
    </row>
    <row r="50" spans="1:13" ht="25.5">
      <c r="A50" s="7" t="s">
        <v>1</v>
      </c>
      <c r="B50" s="10" t="s">
        <v>2</v>
      </c>
      <c r="C50" s="7" t="s">
        <v>3</v>
      </c>
      <c r="D50" s="7" t="s">
        <v>4</v>
      </c>
      <c r="E50" s="8" t="s">
        <v>5</v>
      </c>
      <c r="F50" s="9" t="s">
        <v>6</v>
      </c>
      <c r="G50" s="7" t="s">
        <v>7</v>
      </c>
      <c r="H50" s="10" t="s">
        <v>8</v>
      </c>
      <c r="I50" s="10" t="s">
        <v>9</v>
      </c>
      <c r="J50" s="8" t="s">
        <v>10</v>
      </c>
      <c r="K50" s="134" t="s">
        <v>11</v>
      </c>
      <c r="L50" s="135" t="s">
        <v>12</v>
      </c>
      <c r="M50" s="134" t="s">
        <v>13</v>
      </c>
    </row>
    <row r="51" spans="1:13">
      <c r="A51" s="125">
        <v>1</v>
      </c>
      <c r="B51" s="28" t="s">
        <v>297</v>
      </c>
      <c r="C51" s="126">
        <v>45796</v>
      </c>
      <c r="D51" s="20">
        <v>45812</v>
      </c>
      <c r="E51" s="129" t="s">
        <v>36</v>
      </c>
      <c r="F51" s="22">
        <v>4</v>
      </c>
      <c r="G51" s="22">
        <v>4</v>
      </c>
      <c r="H51" s="22">
        <v>1</v>
      </c>
      <c r="I51" s="22">
        <v>0</v>
      </c>
      <c r="J51" s="22">
        <v>0</v>
      </c>
      <c r="K51" s="22">
        <v>0</v>
      </c>
      <c r="L51" s="22">
        <v>1</v>
      </c>
      <c r="M51" s="22">
        <v>0</v>
      </c>
    </row>
    <row r="52" spans="1:13">
      <c r="A52" s="125">
        <v>2</v>
      </c>
      <c r="B52" s="311" t="s">
        <v>353</v>
      </c>
      <c r="C52" s="126">
        <v>45802</v>
      </c>
      <c r="D52" s="20">
        <v>45809</v>
      </c>
      <c r="E52" s="129" t="s">
        <v>36</v>
      </c>
      <c r="F52" s="22">
        <v>1</v>
      </c>
      <c r="G52" s="22">
        <v>1</v>
      </c>
      <c r="H52" s="22">
        <v>1</v>
      </c>
      <c r="I52" s="22">
        <v>0</v>
      </c>
      <c r="J52" s="22">
        <v>0</v>
      </c>
      <c r="K52" s="22">
        <v>0</v>
      </c>
      <c r="L52" s="22">
        <v>0</v>
      </c>
      <c r="M52" s="22">
        <v>1</v>
      </c>
    </row>
    <row r="53" spans="1:13">
      <c r="A53" s="312">
        <v>3</v>
      </c>
      <c r="B53" s="275" t="s">
        <v>320</v>
      </c>
      <c r="C53" s="313">
        <v>45807</v>
      </c>
      <c r="D53" s="276"/>
      <c r="E53" s="314"/>
      <c r="F53" s="136">
        <v>30</v>
      </c>
      <c r="G53" s="136">
        <v>30</v>
      </c>
      <c r="H53" s="136"/>
      <c r="I53" s="136"/>
      <c r="J53" s="136"/>
      <c r="K53" s="136"/>
      <c r="L53" s="136">
        <v>1</v>
      </c>
      <c r="M53" s="136">
        <v>0</v>
      </c>
    </row>
    <row r="54" spans="1:13">
      <c r="A54" s="101">
        <v>4</v>
      </c>
      <c r="B54" s="28" t="s">
        <v>308</v>
      </c>
      <c r="C54" s="199">
        <v>45808</v>
      </c>
      <c r="D54" s="84">
        <v>45812</v>
      </c>
      <c r="E54" s="21" t="s">
        <v>36</v>
      </c>
      <c r="F54" s="102">
        <v>4</v>
      </c>
      <c r="G54" s="102">
        <v>4</v>
      </c>
      <c r="H54" s="102">
        <v>1</v>
      </c>
      <c r="I54" s="102">
        <v>0</v>
      </c>
      <c r="J54" s="102">
        <v>0</v>
      </c>
      <c r="K54" s="102">
        <v>0</v>
      </c>
      <c r="L54" s="102">
        <v>1</v>
      </c>
      <c r="M54" s="102">
        <v>0</v>
      </c>
    </row>
    <row r="55" spans="1:13">
      <c r="A55" s="315">
        <v>5</v>
      </c>
      <c r="B55" s="316" t="s">
        <v>333</v>
      </c>
      <c r="C55" s="317">
        <v>45809</v>
      </c>
      <c r="D55" s="318">
        <v>45836</v>
      </c>
      <c r="E55" s="315" t="s">
        <v>255</v>
      </c>
      <c r="F55" s="319">
        <v>28</v>
      </c>
      <c r="G55" s="319">
        <v>27</v>
      </c>
      <c r="H55" s="319">
        <v>1</v>
      </c>
      <c r="I55" s="319">
        <v>0</v>
      </c>
      <c r="J55" s="319">
        <v>0</v>
      </c>
      <c r="K55" s="319">
        <v>0</v>
      </c>
      <c r="L55" s="319">
        <v>1</v>
      </c>
      <c r="M55" s="319">
        <v>0</v>
      </c>
    </row>
    <row r="56" spans="1:13">
      <c r="A56" s="315">
        <v>6</v>
      </c>
      <c r="B56" s="316" t="s">
        <v>325</v>
      </c>
      <c r="C56" s="317">
        <v>45812</v>
      </c>
      <c r="D56" s="318">
        <v>45818</v>
      </c>
      <c r="E56" s="315" t="s">
        <v>255</v>
      </c>
      <c r="F56" s="319">
        <v>7</v>
      </c>
      <c r="G56" s="319">
        <v>6</v>
      </c>
      <c r="H56" s="319">
        <v>1</v>
      </c>
      <c r="I56" s="319">
        <v>0</v>
      </c>
      <c r="J56" s="319">
        <v>0</v>
      </c>
      <c r="K56" s="319">
        <v>0</v>
      </c>
      <c r="L56" s="319">
        <v>0</v>
      </c>
      <c r="M56" s="319">
        <v>1</v>
      </c>
    </row>
    <row r="57" spans="1:13">
      <c r="A57" s="315">
        <v>7</v>
      </c>
      <c r="B57" s="316" t="s">
        <v>335</v>
      </c>
      <c r="C57" s="317">
        <v>45812</v>
      </c>
      <c r="D57" s="318">
        <v>45836</v>
      </c>
      <c r="E57" s="315" t="s">
        <v>255</v>
      </c>
      <c r="F57" s="319">
        <v>25</v>
      </c>
      <c r="G57" s="319">
        <v>24</v>
      </c>
      <c r="H57" s="319">
        <v>1</v>
      </c>
      <c r="I57" s="319">
        <v>0</v>
      </c>
      <c r="J57" s="319">
        <v>0</v>
      </c>
      <c r="K57" s="319">
        <v>0</v>
      </c>
      <c r="L57" s="319">
        <v>0</v>
      </c>
      <c r="M57" s="319">
        <v>1</v>
      </c>
    </row>
    <row r="58" spans="1:13">
      <c r="A58" s="101">
        <v>8</v>
      </c>
      <c r="B58" s="82" t="s">
        <v>365</v>
      </c>
      <c r="C58" s="199">
        <v>45824</v>
      </c>
      <c r="D58" s="84">
        <v>45826</v>
      </c>
      <c r="E58" s="21" t="s">
        <v>36</v>
      </c>
      <c r="F58" s="102">
        <v>3</v>
      </c>
      <c r="G58" s="102">
        <v>3</v>
      </c>
      <c r="H58" s="102">
        <v>1</v>
      </c>
      <c r="I58" s="102">
        <v>0</v>
      </c>
      <c r="J58" s="102">
        <v>0</v>
      </c>
      <c r="K58" s="102">
        <v>0</v>
      </c>
      <c r="L58" s="102">
        <v>1</v>
      </c>
      <c r="M58" s="102">
        <v>0</v>
      </c>
    </row>
    <row r="59" spans="1:13">
      <c r="A59" s="101">
        <v>9</v>
      </c>
      <c r="B59" s="28" t="s">
        <v>336</v>
      </c>
      <c r="C59" s="199">
        <v>45826</v>
      </c>
      <c r="D59" s="84">
        <v>45828</v>
      </c>
      <c r="E59" s="21" t="s">
        <v>36</v>
      </c>
      <c r="F59" s="102">
        <v>2</v>
      </c>
      <c r="G59" s="102">
        <v>2</v>
      </c>
      <c r="H59" s="102">
        <v>1</v>
      </c>
      <c r="I59" s="102">
        <v>0</v>
      </c>
      <c r="J59" s="102">
        <v>0</v>
      </c>
      <c r="K59" s="102">
        <v>0</v>
      </c>
      <c r="L59" s="102">
        <v>0</v>
      </c>
      <c r="M59" s="102">
        <v>1</v>
      </c>
    </row>
    <row r="60" spans="1:13">
      <c r="A60" s="101">
        <v>10</v>
      </c>
      <c r="B60" s="28" t="s">
        <v>386</v>
      </c>
      <c r="C60" s="199">
        <v>45828</v>
      </c>
      <c r="D60" s="84">
        <v>45836</v>
      </c>
      <c r="E60" s="21" t="s">
        <v>36</v>
      </c>
      <c r="F60" s="102">
        <v>9</v>
      </c>
      <c r="G60" s="102">
        <v>9</v>
      </c>
      <c r="H60" s="102">
        <v>1</v>
      </c>
      <c r="I60" s="102">
        <v>0</v>
      </c>
      <c r="J60" s="102">
        <v>0</v>
      </c>
      <c r="K60" s="102">
        <v>0</v>
      </c>
      <c r="L60" s="102">
        <v>1</v>
      </c>
      <c r="M60" s="102">
        <v>0</v>
      </c>
    </row>
    <row r="61" spans="1:13">
      <c r="A61" s="125">
        <v>11</v>
      </c>
      <c r="B61" s="82" t="s">
        <v>369</v>
      </c>
      <c r="C61" s="126">
        <v>45804</v>
      </c>
      <c r="D61" s="20">
        <v>45837</v>
      </c>
      <c r="E61" s="21" t="s">
        <v>36</v>
      </c>
      <c r="F61" s="22">
        <v>3</v>
      </c>
      <c r="G61" s="22">
        <v>3</v>
      </c>
      <c r="H61" s="22">
        <v>1</v>
      </c>
      <c r="I61" s="22">
        <v>0</v>
      </c>
      <c r="J61" s="22">
        <v>0</v>
      </c>
      <c r="K61" s="22">
        <v>0</v>
      </c>
      <c r="L61" s="22">
        <v>0</v>
      </c>
      <c r="M61" s="22">
        <v>1</v>
      </c>
    </row>
    <row r="62" spans="1:13">
      <c r="A62" s="312">
        <v>12</v>
      </c>
      <c r="B62" s="243" t="s">
        <v>337</v>
      </c>
      <c r="C62" s="276">
        <v>45838</v>
      </c>
      <c r="D62" s="312"/>
      <c r="E62" s="312"/>
      <c r="F62" s="136">
        <v>1</v>
      </c>
      <c r="G62" s="136">
        <v>1</v>
      </c>
      <c r="H62" s="312"/>
      <c r="I62" s="312"/>
      <c r="J62" s="312"/>
      <c r="K62" s="312"/>
      <c r="L62" s="136">
        <v>1</v>
      </c>
      <c r="M62" s="136">
        <v>0</v>
      </c>
    </row>
    <row r="63" spans="1:13">
      <c r="A63" s="274">
        <v>13</v>
      </c>
      <c r="B63" s="243" t="s">
        <v>338</v>
      </c>
      <c r="C63" s="276">
        <v>45838</v>
      </c>
      <c r="D63" s="312"/>
      <c r="E63" s="312"/>
      <c r="F63" s="136">
        <v>1</v>
      </c>
      <c r="G63" s="136">
        <v>1</v>
      </c>
      <c r="H63" s="312"/>
      <c r="I63" s="312"/>
      <c r="J63" s="312"/>
      <c r="K63" s="312"/>
      <c r="L63" s="136">
        <v>1</v>
      </c>
      <c r="M63" s="136">
        <v>0</v>
      </c>
    </row>
    <row r="64" spans="1:13">
      <c r="A64" s="103"/>
      <c r="B64" s="104"/>
      <c r="C64" s="104"/>
      <c r="D64" s="104"/>
      <c r="E64" s="105"/>
      <c r="F64" s="196">
        <v>118</v>
      </c>
      <c r="G64" s="153">
        <v>115</v>
      </c>
      <c r="H64" s="107">
        <v>10</v>
      </c>
      <c r="I64" s="153">
        <v>0</v>
      </c>
      <c r="J64" s="153">
        <v>0</v>
      </c>
      <c r="K64" s="153">
        <v>0</v>
      </c>
      <c r="L64" s="153">
        <v>6</v>
      </c>
      <c r="M64" s="153">
        <v>5</v>
      </c>
    </row>
    <row r="65" spans="1:13">
      <c r="A65" s="108"/>
      <c r="B65" s="147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54"/>
    </row>
    <row r="66" spans="1:13" ht="38.25">
      <c r="A66" s="111"/>
      <c r="B66" s="148"/>
      <c r="C66" s="112" t="s">
        <v>91</v>
      </c>
      <c r="D66" s="113" t="s">
        <v>92</v>
      </c>
      <c r="E66" s="112" t="s">
        <v>93</v>
      </c>
      <c r="F66" s="113" t="s">
        <v>94</v>
      </c>
      <c r="G66" s="113" t="s">
        <v>95</v>
      </c>
      <c r="H66" s="113" t="s">
        <v>96</v>
      </c>
      <c r="I66" s="113" t="s">
        <v>97</v>
      </c>
      <c r="J66" s="113" t="s">
        <v>98</v>
      </c>
      <c r="K66" s="112" t="s">
        <v>99</v>
      </c>
      <c r="L66" s="138" t="s">
        <v>100</v>
      </c>
      <c r="M66" s="112" t="s">
        <v>101</v>
      </c>
    </row>
    <row r="67" spans="1:13">
      <c r="A67" s="111"/>
      <c r="B67" s="114"/>
      <c r="C67" s="115">
        <v>4</v>
      </c>
      <c r="D67" s="115">
        <v>30</v>
      </c>
      <c r="E67" s="115">
        <v>120</v>
      </c>
      <c r="F67" s="116">
        <v>118</v>
      </c>
      <c r="G67" s="117">
        <f>F67/E67</f>
        <v>0.98333333333333295</v>
      </c>
      <c r="H67" s="118">
        <f>F64/H64</f>
        <v>11.8</v>
      </c>
      <c r="I67" s="139">
        <f>I64/(L64+M64)</f>
        <v>0</v>
      </c>
      <c r="J67" s="139" t="e">
        <f>J64/I64</f>
        <v>#DIV/0!</v>
      </c>
      <c r="K67" s="140" t="e">
        <f>K64/(I64)</f>
        <v>#DIV/0!</v>
      </c>
      <c r="L67" s="141">
        <f>L64/(L64+M64)</f>
        <v>0.54545454545454497</v>
      </c>
      <c r="M67" s="140">
        <f>M64/(L64+M64)</f>
        <v>0.45454545454545497</v>
      </c>
    </row>
    <row r="69" spans="1:13">
      <c r="B69" t="s">
        <v>354</v>
      </c>
    </row>
    <row r="70" spans="1:13" ht="25.5">
      <c r="A70" s="7" t="s">
        <v>1</v>
      </c>
      <c r="B70" s="10" t="s">
        <v>2</v>
      </c>
      <c r="C70" s="7" t="s">
        <v>3</v>
      </c>
      <c r="D70" s="7" t="s">
        <v>4</v>
      </c>
      <c r="E70" s="8" t="s">
        <v>5</v>
      </c>
      <c r="F70" s="9" t="s">
        <v>6</v>
      </c>
      <c r="G70" s="7" t="s">
        <v>7</v>
      </c>
      <c r="H70" s="10" t="s">
        <v>8</v>
      </c>
      <c r="I70" s="10" t="s">
        <v>9</v>
      </c>
      <c r="J70" s="8" t="s">
        <v>10</v>
      </c>
      <c r="K70" s="134" t="s">
        <v>11</v>
      </c>
      <c r="L70" s="135" t="s">
        <v>12</v>
      </c>
      <c r="M70" s="134" t="s">
        <v>13</v>
      </c>
    </row>
    <row r="71" spans="1:13">
      <c r="A71" s="320">
        <v>1</v>
      </c>
      <c r="B71" s="321" t="s">
        <v>322</v>
      </c>
      <c r="C71" s="322">
        <v>45796</v>
      </c>
      <c r="D71" s="323">
        <v>45816</v>
      </c>
      <c r="E71" s="324" t="s">
        <v>331</v>
      </c>
      <c r="F71" s="320">
        <v>8</v>
      </c>
      <c r="G71" s="320">
        <v>7</v>
      </c>
      <c r="H71" s="325">
        <v>1</v>
      </c>
      <c r="I71" s="325">
        <v>0</v>
      </c>
      <c r="J71" s="325">
        <v>0</v>
      </c>
      <c r="K71" s="325">
        <v>0</v>
      </c>
      <c r="L71" s="320">
        <v>1</v>
      </c>
      <c r="M71" s="320">
        <v>0</v>
      </c>
    </row>
    <row r="72" spans="1:13">
      <c r="A72" s="125">
        <v>2</v>
      </c>
      <c r="B72" s="28" t="s">
        <v>330</v>
      </c>
      <c r="C72" s="126">
        <v>45804</v>
      </c>
      <c r="D72" s="20">
        <v>45818</v>
      </c>
      <c r="E72" s="129" t="s">
        <v>36</v>
      </c>
      <c r="F72" s="22">
        <v>10</v>
      </c>
      <c r="G72" s="22">
        <v>10</v>
      </c>
      <c r="H72" s="22">
        <v>1</v>
      </c>
      <c r="I72" s="22">
        <v>0</v>
      </c>
      <c r="J72" s="22">
        <v>0</v>
      </c>
      <c r="K72" s="22">
        <v>0</v>
      </c>
      <c r="L72" s="22">
        <v>0</v>
      </c>
      <c r="M72" s="22">
        <v>1</v>
      </c>
    </row>
    <row r="73" spans="1:13">
      <c r="A73" s="125">
        <v>3</v>
      </c>
      <c r="B73" s="28" t="s">
        <v>241</v>
      </c>
      <c r="C73" s="126">
        <v>45807</v>
      </c>
      <c r="D73" s="20">
        <v>45828</v>
      </c>
      <c r="E73" s="129" t="s">
        <v>36</v>
      </c>
      <c r="F73" s="22">
        <v>20</v>
      </c>
      <c r="G73" s="22">
        <v>20</v>
      </c>
      <c r="H73" s="22">
        <v>1</v>
      </c>
      <c r="I73" s="22">
        <v>0</v>
      </c>
      <c r="J73" s="22">
        <v>0</v>
      </c>
      <c r="K73" s="22">
        <v>0</v>
      </c>
      <c r="L73" s="22">
        <v>1</v>
      </c>
      <c r="M73" s="22">
        <v>0</v>
      </c>
    </row>
    <row r="74" spans="1:13">
      <c r="A74" s="101">
        <v>4</v>
      </c>
      <c r="B74" s="28" t="s">
        <v>324</v>
      </c>
      <c r="C74" s="199">
        <v>45816</v>
      </c>
      <c r="D74" s="84">
        <v>46199</v>
      </c>
      <c r="E74" s="21" t="s">
        <v>36</v>
      </c>
      <c r="F74" s="102">
        <v>19</v>
      </c>
      <c r="G74" s="102">
        <v>19</v>
      </c>
      <c r="H74" s="102">
        <v>1</v>
      </c>
      <c r="I74" s="102">
        <v>0</v>
      </c>
      <c r="J74" s="102">
        <v>0</v>
      </c>
      <c r="K74" s="102">
        <v>0</v>
      </c>
      <c r="L74" s="102">
        <v>1</v>
      </c>
      <c r="M74" s="102">
        <v>0</v>
      </c>
    </row>
    <row r="75" spans="1:13">
      <c r="A75" s="22">
        <v>5</v>
      </c>
      <c r="B75" s="82" t="s">
        <v>325</v>
      </c>
      <c r="C75" s="126">
        <v>45818</v>
      </c>
      <c r="D75" s="126">
        <v>45835</v>
      </c>
      <c r="E75" s="21" t="s">
        <v>36</v>
      </c>
      <c r="F75" s="22">
        <v>18</v>
      </c>
      <c r="G75" s="22">
        <v>18</v>
      </c>
      <c r="H75" s="22">
        <v>1</v>
      </c>
      <c r="I75" s="22">
        <v>0</v>
      </c>
      <c r="J75" s="22">
        <v>0</v>
      </c>
      <c r="K75" s="22">
        <v>0</v>
      </c>
      <c r="L75" s="22">
        <v>0</v>
      </c>
      <c r="M75" s="22">
        <v>1</v>
      </c>
    </row>
    <row r="76" spans="1:13">
      <c r="A76" s="101">
        <v>6</v>
      </c>
      <c r="B76" s="28" t="s">
        <v>387</v>
      </c>
      <c r="C76" s="199">
        <v>45828</v>
      </c>
      <c r="D76" s="101" t="s">
        <v>388</v>
      </c>
      <c r="E76" s="21" t="s">
        <v>36</v>
      </c>
      <c r="F76" s="102">
        <v>11</v>
      </c>
      <c r="G76" s="102">
        <v>11</v>
      </c>
      <c r="H76" s="102">
        <v>1</v>
      </c>
      <c r="I76" s="102">
        <v>0</v>
      </c>
      <c r="J76" s="102">
        <v>0</v>
      </c>
      <c r="K76" s="102">
        <v>0</v>
      </c>
      <c r="L76" s="102">
        <v>0</v>
      </c>
      <c r="M76" s="102">
        <v>1</v>
      </c>
    </row>
    <row r="77" spans="1:13">
      <c r="A77" s="26">
        <v>7</v>
      </c>
      <c r="B77" s="275" t="s">
        <v>335</v>
      </c>
      <c r="C77" s="178">
        <v>45836</v>
      </c>
      <c r="D77" s="26"/>
      <c r="E77" s="26"/>
      <c r="F77" s="27">
        <v>3</v>
      </c>
      <c r="G77" s="27">
        <v>3</v>
      </c>
      <c r="H77" s="26"/>
      <c r="I77" s="26"/>
      <c r="J77" s="26"/>
      <c r="K77" s="26"/>
      <c r="L77" s="27">
        <v>0</v>
      </c>
      <c r="M77" s="27">
        <v>1</v>
      </c>
    </row>
    <row r="78" spans="1:13">
      <c r="A78" s="26">
        <v>8</v>
      </c>
      <c r="B78" s="127" t="s">
        <v>333</v>
      </c>
      <c r="C78" s="178">
        <v>45836</v>
      </c>
      <c r="D78" s="26"/>
      <c r="E78" s="26"/>
      <c r="F78" s="27">
        <v>3</v>
      </c>
      <c r="G78" s="27">
        <v>3</v>
      </c>
      <c r="H78" s="26"/>
      <c r="I78" s="26"/>
      <c r="J78" s="26"/>
      <c r="K78" s="26"/>
      <c r="L78" s="27">
        <v>1</v>
      </c>
      <c r="M78" s="27">
        <v>0</v>
      </c>
    </row>
    <row r="79" spans="1:13">
      <c r="A79">
        <v>9</v>
      </c>
      <c r="B79" s="145" t="s">
        <v>368</v>
      </c>
      <c r="C79" s="291">
        <v>45838</v>
      </c>
      <c r="D79" s="26"/>
      <c r="E79" s="26"/>
      <c r="F79" s="27">
        <v>1</v>
      </c>
      <c r="G79" s="27">
        <v>1</v>
      </c>
      <c r="H79" s="26"/>
      <c r="I79" s="26"/>
      <c r="J79" s="26"/>
      <c r="K79" s="26"/>
      <c r="L79" s="27">
        <v>1</v>
      </c>
      <c r="M79" s="27">
        <v>0</v>
      </c>
    </row>
    <row r="80" spans="1:13">
      <c r="A80" s="103"/>
      <c r="B80" s="104"/>
      <c r="C80" s="104"/>
      <c r="D80" s="104"/>
      <c r="E80" s="105"/>
      <c r="F80" s="196">
        <v>93</v>
      </c>
      <c r="G80" s="153">
        <v>92</v>
      </c>
      <c r="H80" s="107">
        <v>6</v>
      </c>
      <c r="I80" s="153">
        <v>0</v>
      </c>
      <c r="J80" s="153">
        <v>0</v>
      </c>
      <c r="K80" s="153">
        <v>0</v>
      </c>
      <c r="L80" s="153">
        <v>4</v>
      </c>
      <c r="M80" s="153">
        <v>4</v>
      </c>
    </row>
    <row r="81" spans="1:13">
      <c r="A81" s="108"/>
      <c r="B81" s="147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54"/>
    </row>
    <row r="82" spans="1:13" ht="38.25">
      <c r="A82" s="111"/>
      <c r="B82" s="148"/>
      <c r="C82" s="112" t="s">
        <v>91</v>
      </c>
      <c r="D82" s="113" t="s">
        <v>92</v>
      </c>
      <c r="E82" s="112" t="s">
        <v>93</v>
      </c>
      <c r="F82" s="113" t="s">
        <v>94</v>
      </c>
      <c r="G82" s="113" t="s">
        <v>95</v>
      </c>
      <c r="H82" s="113" t="s">
        <v>96</v>
      </c>
      <c r="I82" s="113" t="s">
        <v>97</v>
      </c>
      <c r="J82" s="113" t="s">
        <v>98</v>
      </c>
      <c r="K82" s="112" t="s">
        <v>99</v>
      </c>
      <c r="L82" s="138" t="s">
        <v>100</v>
      </c>
      <c r="M82" s="112" t="s">
        <v>101</v>
      </c>
    </row>
    <row r="83" spans="1:13">
      <c r="A83" s="111"/>
      <c r="B83" s="114"/>
      <c r="C83" s="115">
        <v>3</v>
      </c>
      <c r="D83" s="115">
        <v>30</v>
      </c>
      <c r="E83" s="115">
        <v>90</v>
      </c>
      <c r="F83" s="116">
        <f>F80</f>
        <v>93</v>
      </c>
      <c r="G83" s="117">
        <f>F83/E83</f>
        <v>1.0333333333333301</v>
      </c>
      <c r="H83" s="118">
        <f>F80/H80</f>
        <v>15.5</v>
      </c>
      <c r="I83" s="139">
        <f>I80/(L80+M80)</f>
        <v>0</v>
      </c>
      <c r="J83" s="139" t="e">
        <f>J80/I80</f>
        <v>#DIV/0!</v>
      </c>
      <c r="K83" s="140" t="e">
        <f>K80/(I80)</f>
        <v>#DIV/0!</v>
      </c>
      <c r="L83" s="141">
        <f>L80/(L80+M80)</f>
        <v>0.5</v>
      </c>
      <c r="M83" s="140">
        <f>M80/(L80+M80)</f>
        <v>0.5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M93"/>
  <sheetViews>
    <sheetView topLeftCell="A58" workbookViewId="0">
      <selection activeCell="J93" sqref="J93"/>
    </sheetView>
  </sheetViews>
  <sheetFormatPr defaultColWidth="9" defaultRowHeight="15"/>
  <cols>
    <col min="1" max="1" width="4.85546875" customWidth="1"/>
    <col min="2" max="2" width="43" customWidth="1"/>
    <col min="3" max="3" width="12.42578125" customWidth="1"/>
    <col min="4" max="4" width="11.5703125" customWidth="1"/>
    <col min="5" max="5" width="15.140625" customWidth="1"/>
    <col min="7" max="7" width="9.28515625" customWidth="1"/>
    <col min="9" max="9" width="9.7109375" customWidth="1"/>
    <col min="10" max="10" width="9.5703125" customWidth="1"/>
    <col min="11" max="11" width="9.7109375" customWidth="1"/>
    <col min="12" max="12" width="9.5703125" customWidth="1"/>
    <col min="13" max="13" width="9.7109375" customWidth="1"/>
  </cols>
  <sheetData>
    <row r="1" spans="1:13">
      <c r="A1" s="666" t="s">
        <v>389</v>
      </c>
      <c r="B1" s="666"/>
      <c r="C1" s="666"/>
      <c r="D1" s="666"/>
      <c r="E1" s="666"/>
      <c r="F1" s="666"/>
      <c r="G1" s="1">
        <v>45839</v>
      </c>
      <c r="H1" s="2"/>
      <c r="I1" s="2"/>
      <c r="J1" s="2"/>
      <c r="K1" s="2"/>
      <c r="L1" s="2"/>
      <c r="M1" s="2"/>
    </row>
    <row r="3" spans="1:13">
      <c r="B3" s="3" t="s">
        <v>246</v>
      </c>
    </row>
    <row r="4" spans="1:13" ht="25.5">
      <c r="A4" s="4" t="s">
        <v>1</v>
      </c>
      <c r="B4" s="5" t="s">
        <v>2</v>
      </c>
      <c r="C4" s="155" t="s">
        <v>3</v>
      </c>
      <c r="D4" s="7" t="s">
        <v>4</v>
      </c>
      <c r="E4" s="8" t="s">
        <v>5</v>
      </c>
      <c r="F4" s="9" t="s">
        <v>6</v>
      </c>
      <c r="G4" s="7" t="s">
        <v>7</v>
      </c>
      <c r="H4" s="10" t="s">
        <v>8</v>
      </c>
      <c r="I4" s="10" t="s">
        <v>9</v>
      </c>
      <c r="J4" s="8" t="s">
        <v>10</v>
      </c>
      <c r="K4" s="134" t="s">
        <v>11</v>
      </c>
      <c r="L4" s="135" t="s">
        <v>12</v>
      </c>
      <c r="M4" s="134" t="s">
        <v>13</v>
      </c>
    </row>
    <row r="5" spans="1:13">
      <c r="A5" s="102">
        <v>1</v>
      </c>
      <c r="B5" s="28" t="s">
        <v>334</v>
      </c>
      <c r="C5" s="151">
        <v>45797</v>
      </c>
      <c r="D5" s="84">
        <v>45847</v>
      </c>
      <c r="E5" s="21" t="s">
        <v>36</v>
      </c>
      <c r="F5" s="244">
        <v>9</v>
      </c>
      <c r="G5" s="244">
        <v>9</v>
      </c>
      <c r="H5" s="102">
        <v>1</v>
      </c>
      <c r="I5" s="102">
        <v>0</v>
      </c>
      <c r="J5" s="102">
        <v>0</v>
      </c>
      <c r="K5" s="102">
        <v>0</v>
      </c>
      <c r="L5" s="102">
        <v>1</v>
      </c>
      <c r="M5" s="102">
        <v>0</v>
      </c>
    </row>
    <row r="6" spans="1:13">
      <c r="A6" s="22">
        <v>2</v>
      </c>
      <c r="B6" s="28" t="s">
        <v>341</v>
      </c>
      <c r="C6" s="55">
        <v>45804</v>
      </c>
      <c r="D6" s="20">
        <v>45850</v>
      </c>
      <c r="E6" s="21" t="s">
        <v>36</v>
      </c>
      <c r="F6" s="244">
        <v>12</v>
      </c>
      <c r="G6" s="244">
        <v>12</v>
      </c>
      <c r="H6" s="22">
        <v>1</v>
      </c>
      <c r="I6" s="22">
        <v>0</v>
      </c>
      <c r="J6" s="22">
        <v>0</v>
      </c>
      <c r="K6" s="22">
        <v>0</v>
      </c>
      <c r="L6" s="22">
        <v>1</v>
      </c>
      <c r="M6" s="22">
        <v>0</v>
      </c>
    </row>
    <row r="7" spans="1:13">
      <c r="A7" s="53">
        <v>3</v>
      </c>
      <c r="B7" s="87" t="s">
        <v>363</v>
      </c>
      <c r="C7" s="51">
        <v>45807</v>
      </c>
      <c r="D7" s="245" t="s">
        <v>390</v>
      </c>
      <c r="E7" s="52" t="s">
        <v>250</v>
      </c>
      <c r="F7" s="174">
        <v>26</v>
      </c>
      <c r="G7" s="174">
        <v>25</v>
      </c>
      <c r="H7" s="192">
        <v>1</v>
      </c>
      <c r="I7" s="192">
        <v>0</v>
      </c>
      <c r="J7" s="192">
        <v>0</v>
      </c>
      <c r="K7" s="192">
        <v>0</v>
      </c>
      <c r="L7" s="192">
        <v>0</v>
      </c>
      <c r="M7" s="192">
        <v>1</v>
      </c>
    </row>
    <row r="8" spans="1:13">
      <c r="A8" s="172">
        <v>4</v>
      </c>
      <c r="B8" s="246" t="s">
        <v>364</v>
      </c>
      <c r="C8" s="191">
        <v>45810</v>
      </c>
      <c r="D8" s="247">
        <v>45865</v>
      </c>
      <c r="E8" s="248" t="s">
        <v>255</v>
      </c>
      <c r="F8" s="249">
        <v>27</v>
      </c>
      <c r="G8" s="249">
        <v>26</v>
      </c>
      <c r="H8" s="60">
        <v>1</v>
      </c>
      <c r="I8" s="60">
        <v>0</v>
      </c>
      <c r="J8" s="60">
        <v>0</v>
      </c>
      <c r="K8" s="60">
        <v>0</v>
      </c>
      <c r="L8" s="60">
        <v>1</v>
      </c>
      <c r="M8" s="60">
        <v>0</v>
      </c>
    </row>
    <row r="9" spans="1:13">
      <c r="A9" s="53">
        <v>5</v>
      </c>
      <c r="B9" s="87" t="s">
        <v>371</v>
      </c>
      <c r="C9" s="51">
        <v>45822</v>
      </c>
      <c r="D9" s="176">
        <v>45842</v>
      </c>
      <c r="E9" s="52" t="s">
        <v>250</v>
      </c>
      <c r="F9" s="174">
        <v>4</v>
      </c>
      <c r="G9" s="174">
        <v>3</v>
      </c>
      <c r="H9" s="192">
        <v>1</v>
      </c>
      <c r="I9" s="192">
        <v>0</v>
      </c>
      <c r="J9" s="192">
        <v>0</v>
      </c>
      <c r="K9" s="192">
        <v>0</v>
      </c>
      <c r="L9" s="192">
        <v>1</v>
      </c>
      <c r="M9" s="192">
        <v>0</v>
      </c>
    </row>
    <row r="10" spans="1:13">
      <c r="A10" s="53">
        <v>6</v>
      </c>
      <c r="B10" s="250" t="s">
        <v>373</v>
      </c>
      <c r="C10" s="51">
        <v>45825</v>
      </c>
      <c r="D10" s="176">
        <v>45862</v>
      </c>
      <c r="E10" s="52" t="s">
        <v>250</v>
      </c>
      <c r="F10" s="174">
        <v>24</v>
      </c>
      <c r="G10" s="174">
        <v>23</v>
      </c>
      <c r="H10" s="192">
        <v>1</v>
      </c>
      <c r="I10" s="192">
        <v>0</v>
      </c>
      <c r="J10" s="192">
        <v>0</v>
      </c>
      <c r="K10" s="192">
        <v>0</v>
      </c>
      <c r="L10" s="192">
        <v>1</v>
      </c>
      <c r="M10" s="192">
        <v>0</v>
      </c>
    </row>
    <row r="11" spans="1:13">
      <c r="A11" s="31">
        <v>7</v>
      </c>
      <c r="B11" s="82" t="s">
        <v>374</v>
      </c>
      <c r="C11" s="55">
        <v>45829</v>
      </c>
      <c r="D11" s="20">
        <v>45841</v>
      </c>
      <c r="E11" s="21" t="s">
        <v>36</v>
      </c>
      <c r="F11" s="244">
        <v>3</v>
      </c>
      <c r="G11" s="244">
        <v>3</v>
      </c>
      <c r="H11" s="22">
        <v>1</v>
      </c>
      <c r="I11" s="22">
        <v>0</v>
      </c>
      <c r="J11" s="22">
        <v>0</v>
      </c>
      <c r="K11" s="22">
        <v>0</v>
      </c>
      <c r="L11" s="22">
        <v>1</v>
      </c>
      <c r="M11" s="22">
        <v>0</v>
      </c>
    </row>
    <row r="12" spans="1:13">
      <c r="A12" s="22">
        <v>8</v>
      </c>
      <c r="B12" s="82" t="s">
        <v>378</v>
      </c>
      <c r="C12" s="55">
        <v>45832</v>
      </c>
      <c r="D12" s="20">
        <v>45846</v>
      </c>
      <c r="E12" s="21" t="s">
        <v>36</v>
      </c>
      <c r="F12" s="54">
        <v>8</v>
      </c>
      <c r="G12" s="54">
        <v>8</v>
      </c>
      <c r="H12" s="22">
        <v>1</v>
      </c>
      <c r="I12" s="22">
        <v>0</v>
      </c>
      <c r="J12" s="22">
        <v>0</v>
      </c>
      <c r="K12" s="22">
        <v>0</v>
      </c>
      <c r="L12" s="22">
        <v>1</v>
      </c>
      <c r="M12" s="22">
        <v>0</v>
      </c>
    </row>
    <row r="13" spans="1:13">
      <c r="A13" s="27">
        <v>9</v>
      </c>
      <c r="B13" s="24" t="s">
        <v>379</v>
      </c>
      <c r="C13" s="152">
        <v>45833</v>
      </c>
      <c r="D13" s="26"/>
      <c r="E13" s="26"/>
      <c r="F13" s="35">
        <v>31</v>
      </c>
      <c r="G13" s="35">
        <v>31</v>
      </c>
      <c r="H13" s="27"/>
      <c r="I13" s="27"/>
      <c r="J13" s="27"/>
      <c r="K13" s="27"/>
      <c r="L13" s="27">
        <v>1</v>
      </c>
      <c r="M13" s="27">
        <v>0</v>
      </c>
    </row>
    <row r="14" spans="1:13">
      <c r="A14" s="189">
        <v>10</v>
      </c>
      <c r="B14" s="164" t="s">
        <v>391</v>
      </c>
      <c r="C14" s="186">
        <v>45832</v>
      </c>
      <c r="D14" s="200">
        <v>45846</v>
      </c>
      <c r="E14" s="248" t="s">
        <v>255</v>
      </c>
      <c r="F14" s="189">
        <v>8</v>
      </c>
      <c r="G14" s="189">
        <v>7</v>
      </c>
      <c r="H14" s="189">
        <v>1</v>
      </c>
      <c r="I14" s="189">
        <v>0</v>
      </c>
      <c r="J14" s="189">
        <v>0</v>
      </c>
      <c r="K14" s="189">
        <v>0</v>
      </c>
      <c r="L14" s="189">
        <v>0</v>
      </c>
      <c r="M14" s="189">
        <v>1</v>
      </c>
    </row>
    <row r="15" spans="1:13">
      <c r="A15" s="85">
        <v>11</v>
      </c>
      <c r="B15" s="28" t="s">
        <v>392</v>
      </c>
      <c r="C15" s="151">
        <v>45835</v>
      </c>
      <c r="D15" s="84">
        <v>45847</v>
      </c>
      <c r="E15" s="21" t="s">
        <v>36</v>
      </c>
      <c r="F15" s="244">
        <v>9</v>
      </c>
      <c r="G15" s="244">
        <v>9</v>
      </c>
      <c r="H15" s="102">
        <v>1</v>
      </c>
      <c r="I15" s="102">
        <v>0</v>
      </c>
      <c r="J15" s="102">
        <v>0</v>
      </c>
      <c r="K15" s="102">
        <v>0</v>
      </c>
      <c r="L15" s="102">
        <v>1</v>
      </c>
      <c r="M15" s="102">
        <v>0</v>
      </c>
    </row>
    <row r="16" spans="1:13">
      <c r="A16" s="60">
        <v>12</v>
      </c>
      <c r="B16" s="246" t="s">
        <v>393</v>
      </c>
      <c r="C16" s="191">
        <v>45837</v>
      </c>
      <c r="D16" s="248"/>
      <c r="E16" s="248" t="s">
        <v>255</v>
      </c>
      <c r="F16" s="249">
        <v>31</v>
      </c>
      <c r="G16" s="249">
        <v>30</v>
      </c>
      <c r="H16" s="60">
        <v>1</v>
      </c>
      <c r="I16" s="60">
        <v>0</v>
      </c>
      <c r="J16" s="60">
        <v>0</v>
      </c>
      <c r="K16" s="60">
        <v>0</v>
      </c>
      <c r="L16" s="60">
        <v>1</v>
      </c>
      <c r="M16" s="60">
        <v>0</v>
      </c>
    </row>
    <row r="17" spans="1:13">
      <c r="A17" s="251">
        <v>13</v>
      </c>
      <c r="B17" s="37" t="s">
        <v>384</v>
      </c>
      <c r="C17" s="45">
        <v>45838</v>
      </c>
      <c r="D17" s="162">
        <v>45840</v>
      </c>
      <c r="E17" s="40" t="s">
        <v>17</v>
      </c>
      <c r="F17" s="72">
        <v>2</v>
      </c>
      <c r="G17" s="72">
        <v>2</v>
      </c>
      <c r="H17" s="72">
        <v>1</v>
      </c>
      <c r="I17" s="72">
        <v>1</v>
      </c>
      <c r="J17" s="72">
        <v>1</v>
      </c>
      <c r="K17" s="72">
        <v>0</v>
      </c>
      <c r="L17" s="72">
        <v>1</v>
      </c>
      <c r="M17" s="72">
        <v>0</v>
      </c>
    </row>
    <row r="18" spans="1:13">
      <c r="A18" s="26">
        <v>14</v>
      </c>
      <c r="B18" s="24" t="s">
        <v>394</v>
      </c>
      <c r="C18" s="152">
        <v>45838</v>
      </c>
      <c r="D18" s="26"/>
      <c r="E18" s="26"/>
      <c r="F18" s="27">
        <v>31</v>
      </c>
      <c r="G18" s="27">
        <v>31</v>
      </c>
      <c r="H18" s="27"/>
      <c r="I18" s="27"/>
      <c r="J18" s="27"/>
      <c r="K18" s="27"/>
      <c r="L18" s="27">
        <v>0</v>
      </c>
      <c r="M18" s="27">
        <v>1</v>
      </c>
    </row>
    <row r="19" spans="1:13">
      <c r="A19" s="252">
        <v>15</v>
      </c>
      <c r="B19" s="86" t="s">
        <v>395</v>
      </c>
      <c r="C19" s="253">
        <v>45839</v>
      </c>
      <c r="D19" s="212">
        <v>45856</v>
      </c>
      <c r="E19" s="52" t="s">
        <v>250</v>
      </c>
      <c r="F19" s="204">
        <v>18</v>
      </c>
      <c r="G19" s="204">
        <v>17</v>
      </c>
      <c r="H19" s="204">
        <v>1</v>
      </c>
      <c r="I19" s="204">
        <v>0</v>
      </c>
      <c r="J19" s="204">
        <v>0</v>
      </c>
      <c r="K19" s="204">
        <v>0</v>
      </c>
      <c r="L19" s="204">
        <v>0</v>
      </c>
      <c r="M19" s="204">
        <v>1</v>
      </c>
    </row>
    <row r="20" spans="1:13">
      <c r="A20" s="254">
        <v>16</v>
      </c>
      <c r="B20" s="164" t="s">
        <v>396</v>
      </c>
      <c r="C20" s="186">
        <v>45840</v>
      </c>
      <c r="D20" s="188">
        <v>45851</v>
      </c>
      <c r="E20" s="60" t="s">
        <v>255</v>
      </c>
      <c r="F20" s="189">
        <v>12</v>
      </c>
      <c r="G20" s="189">
        <v>11</v>
      </c>
      <c r="H20" s="189">
        <v>1</v>
      </c>
      <c r="I20" s="189">
        <v>0</v>
      </c>
      <c r="J20" s="189">
        <v>0</v>
      </c>
      <c r="K20" s="189">
        <v>0</v>
      </c>
      <c r="L20" s="189">
        <v>1</v>
      </c>
      <c r="M20" s="189">
        <v>0</v>
      </c>
    </row>
    <row r="21" spans="1:13">
      <c r="A21" s="255">
        <v>17</v>
      </c>
      <c r="B21" s="43" t="s">
        <v>397</v>
      </c>
      <c r="C21" s="45">
        <v>45840</v>
      </c>
      <c r="D21" s="256">
        <v>45852</v>
      </c>
      <c r="E21" s="46" t="s">
        <v>17</v>
      </c>
      <c r="F21" s="257">
        <v>13</v>
      </c>
      <c r="G21" s="257">
        <v>13</v>
      </c>
      <c r="H21" s="257">
        <v>1</v>
      </c>
      <c r="I21" s="257">
        <v>1</v>
      </c>
      <c r="J21" s="257">
        <v>1</v>
      </c>
      <c r="K21" s="257">
        <v>0</v>
      </c>
      <c r="L21" s="257">
        <v>1</v>
      </c>
      <c r="M21" s="257">
        <v>0</v>
      </c>
    </row>
    <row r="22" spans="1:13">
      <c r="A22" s="26">
        <v>18</v>
      </c>
      <c r="B22" s="24" t="s">
        <v>398</v>
      </c>
      <c r="C22" s="152">
        <v>45841</v>
      </c>
      <c r="D22" s="27"/>
      <c r="E22" s="27"/>
      <c r="F22" s="27">
        <v>29</v>
      </c>
      <c r="G22" s="27">
        <v>29</v>
      </c>
      <c r="H22" s="27"/>
      <c r="I22" s="27"/>
      <c r="J22" s="27"/>
      <c r="K22" s="27"/>
      <c r="L22" s="27">
        <v>1</v>
      </c>
      <c r="M22" s="27">
        <v>0</v>
      </c>
    </row>
    <row r="23" spans="1:13">
      <c r="A23" s="258">
        <v>19</v>
      </c>
      <c r="B23" s="259" t="s">
        <v>399</v>
      </c>
      <c r="C23" s="260">
        <v>45846</v>
      </c>
      <c r="D23" s="261">
        <v>45848</v>
      </c>
      <c r="E23" s="262" t="s">
        <v>400</v>
      </c>
      <c r="F23" s="263">
        <v>3</v>
      </c>
      <c r="G23" s="263">
        <v>2</v>
      </c>
      <c r="H23" s="263">
        <v>1</v>
      </c>
      <c r="I23" s="263">
        <v>0</v>
      </c>
      <c r="J23" s="263">
        <v>0</v>
      </c>
      <c r="K23" s="263">
        <v>0</v>
      </c>
      <c r="L23" s="263">
        <v>1</v>
      </c>
      <c r="M23" s="263">
        <v>0</v>
      </c>
    </row>
    <row r="24" spans="1:13">
      <c r="A24" s="125">
        <v>20</v>
      </c>
      <c r="B24" s="28" t="s">
        <v>401</v>
      </c>
      <c r="C24" s="55">
        <v>45845</v>
      </c>
      <c r="D24" s="126">
        <v>45859</v>
      </c>
      <c r="E24" s="21" t="s">
        <v>36</v>
      </c>
      <c r="F24" s="22">
        <v>15</v>
      </c>
      <c r="G24" s="22">
        <v>15</v>
      </c>
      <c r="H24" s="22">
        <v>1</v>
      </c>
      <c r="I24" s="22">
        <v>0</v>
      </c>
      <c r="J24" s="22">
        <v>0</v>
      </c>
      <c r="K24" s="22">
        <v>0</v>
      </c>
      <c r="L24" s="22">
        <v>1</v>
      </c>
      <c r="M24" s="22">
        <v>0</v>
      </c>
    </row>
    <row r="25" spans="1:13">
      <c r="A25" s="251">
        <v>21</v>
      </c>
      <c r="B25" s="37" t="s">
        <v>402</v>
      </c>
      <c r="C25" s="45">
        <v>45847</v>
      </c>
      <c r="D25" s="71">
        <v>45847</v>
      </c>
      <c r="E25" s="40" t="s">
        <v>17</v>
      </c>
      <c r="F25" s="72">
        <v>1</v>
      </c>
      <c r="G25" s="72">
        <v>1</v>
      </c>
      <c r="H25" s="72">
        <v>1</v>
      </c>
      <c r="I25" s="72">
        <v>1</v>
      </c>
      <c r="J25" s="72">
        <v>0</v>
      </c>
      <c r="K25" s="72">
        <v>1</v>
      </c>
      <c r="L25" s="72">
        <v>0</v>
      </c>
      <c r="M25" s="72">
        <v>1</v>
      </c>
    </row>
    <row r="26" spans="1:13">
      <c r="A26" s="251">
        <v>22</v>
      </c>
      <c r="B26" s="37" t="s">
        <v>403</v>
      </c>
      <c r="C26" s="45">
        <v>45847</v>
      </c>
      <c r="D26" s="71">
        <v>45850</v>
      </c>
      <c r="E26" s="40" t="s">
        <v>17</v>
      </c>
      <c r="F26" s="72">
        <v>4</v>
      </c>
      <c r="G26" s="72">
        <v>4</v>
      </c>
      <c r="H26" s="72">
        <v>1</v>
      </c>
      <c r="I26" s="72">
        <v>1</v>
      </c>
      <c r="J26" s="72">
        <v>1</v>
      </c>
      <c r="K26" s="72">
        <v>0</v>
      </c>
      <c r="L26" s="72">
        <v>1</v>
      </c>
      <c r="M26" s="72">
        <v>0</v>
      </c>
    </row>
    <row r="27" spans="1:13">
      <c r="A27" s="252">
        <v>23</v>
      </c>
      <c r="B27" s="86" t="s">
        <v>404</v>
      </c>
      <c r="C27" s="89">
        <v>45847</v>
      </c>
      <c r="D27" s="205">
        <v>45858</v>
      </c>
      <c r="E27" s="52" t="s">
        <v>250</v>
      </c>
      <c r="F27" s="204">
        <v>12</v>
      </c>
      <c r="G27" s="204">
        <v>11</v>
      </c>
      <c r="H27" s="204">
        <v>1</v>
      </c>
      <c r="I27" s="204">
        <v>0</v>
      </c>
      <c r="J27" s="204">
        <v>0</v>
      </c>
      <c r="K27" s="204">
        <v>0</v>
      </c>
      <c r="L27" s="204">
        <v>1</v>
      </c>
      <c r="M27" s="204">
        <v>0</v>
      </c>
    </row>
    <row r="28" spans="1:13">
      <c r="A28" s="251">
        <v>24</v>
      </c>
      <c r="B28" s="43" t="s">
        <v>405</v>
      </c>
      <c r="C28" s="45" t="s">
        <v>406</v>
      </c>
      <c r="D28" s="71">
        <v>45852</v>
      </c>
      <c r="E28" s="40" t="s">
        <v>17</v>
      </c>
      <c r="F28" s="72">
        <v>1</v>
      </c>
      <c r="G28" s="72">
        <v>1</v>
      </c>
      <c r="H28" s="72">
        <v>1</v>
      </c>
      <c r="I28" s="72">
        <v>1</v>
      </c>
      <c r="J28" s="72">
        <v>0</v>
      </c>
      <c r="K28" s="72">
        <v>1</v>
      </c>
      <c r="L28" s="72">
        <v>1</v>
      </c>
      <c r="M28" s="72">
        <v>0</v>
      </c>
    </row>
    <row r="29" spans="1:13">
      <c r="A29" s="26">
        <v>25</v>
      </c>
      <c r="B29" s="24" t="s">
        <v>407</v>
      </c>
      <c r="C29" s="25">
        <v>45853</v>
      </c>
      <c r="D29" s="27"/>
      <c r="E29" s="27"/>
      <c r="F29" s="27">
        <v>17</v>
      </c>
      <c r="G29" s="27">
        <v>17</v>
      </c>
      <c r="H29" s="27"/>
      <c r="I29" s="27"/>
      <c r="J29" s="27"/>
      <c r="K29" s="27"/>
      <c r="L29" s="27">
        <v>0</v>
      </c>
      <c r="M29" s="27">
        <v>1</v>
      </c>
    </row>
    <row r="30" spans="1:13">
      <c r="A30" s="255">
        <v>26</v>
      </c>
      <c r="B30" s="43" t="s">
        <v>408</v>
      </c>
      <c r="C30" s="161">
        <v>45849</v>
      </c>
      <c r="D30" s="256">
        <v>45854</v>
      </c>
      <c r="E30" s="46" t="s">
        <v>17</v>
      </c>
      <c r="F30" s="257">
        <v>6</v>
      </c>
      <c r="G30" s="257">
        <v>6</v>
      </c>
      <c r="H30" s="257">
        <v>1</v>
      </c>
      <c r="I30" s="257">
        <v>1</v>
      </c>
      <c r="J30" s="257">
        <v>1</v>
      </c>
      <c r="K30" s="257">
        <v>0</v>
      </c>
      <c r="L30" s="257">
        <v>0</v>
      </c>
      <c r="M30" s="257">
        <v>1</v>
      </c>
    </row>
    <row r="31" spans="1:13">
      <c r="A31" s="26">
        <v>27</v>
      </c>
      <c r="B31" s="127" t="s">
        <v>409</v>
      </c>
      <c r="C31" s="264" t="s">
        <v>410</v>
      </c>
      <c r="D31" s="27"/>
      <c r="E31" s="27"/>
      <c r="F31" s="27">
        <v>21</v>
      </c>
      <c r="G31" s="27">
        <v>21</v>
      </c>
      <c r="H31" s="27"/>
      <c r="I31" s="27"/>
      <c r="J31" s="27"/>
      <c r="K31" s="27"/>
      <c r="L31" s="27">
        <v>0</v>
      </c>
      <c r="M31" s="27">
        <v>1</v>
      </c>
    </row>
    <row r="32" spans="1:13">
      <c r="A32" s="254">
        <v>28</v>
      </c>
      <c r="B32" s="265" t="s">
        <v>411</v>
      </c>
      <c r="C32" s="58">
        <v>45850</v>
      </c>
      <c r="D32" s="188">
        <v>45867</v>
      </c>
      <c r="E32" s="60" t="s">
        <v>255</v>
      </c>
      <c r="F32" s="189">
        <v>18</v>
      </c>
      <c r="G32" s="189">
        <v>17</v>
      </c>
      <c r="H32" s="189">
        <v>1</v>
      </c>
      <c r="I32" s="189">
        <v>0</v>
      </c>
      <c r="J32" s="189">
        <v>0</v>
      </c>
      <c r="K32" s="189">
        <v>0</v>
      </c>
      <c r="L32" s="189">
        <v>0</v>
      </c>
      <c r="M32" s="189">
        <v>1</v>
      </c>
    </row>
    <row r="33" spans="1:13">
      <c r="A33" s="26">
        <v>29</v>
      </c>
      <c r="B33" s="24" t="s">
        <v>412</v>
      </c>
      <c r="C33" s="32">
        <v>45850</v>
      </c>
      <c r="D33" s="27"/>
      <c r="E33" s="27"/>
      <c r="F33" s="27">
        <v>20</v>
      </c>
      <c r="G33" s="27">
        <v>20</v>
      </c>
      <c r="H33" s="27"/>
      <c r="I33" s="27"/>
      <c r="J33" s="27"/>
      <c r="K33" s="27"/>
      <c r="L33" s="27">
        <v>0</v>
      </c>
      <c r="M33" s="27">
        <v>1</v>
      </c>
    </row>
    <row r="34" spans="1:13">
      <c r="A34" s="26">
        <v>30</v>
      </c>
      <c r="B34" s="24" t="s">
        <v>413</v>
      </c>
      <c r="C34" s="32">
        <v>45849</v>
      </c>
      <c r="D34" s="27"/>
      <c r="E34" s="27"/>
      <c r="F34" s="27">
        <v>21</v>
      </c>
      <c r="G34" s="27">
        <v>21</v>
      </c>
      <c r="H34" s="27"/>
      <c r="I34" s="27"/>
      <c r="J34" s="27"/>
      <c r="K34" s="27"/>
      <c r="L34" s="27">
        <v>1</v>
      </c>
      <c r="M34" s="27">
        <v>0</v>
      </c>
    </row>
    <row r="35" spans="1:13">
      <c r="A35" s="252">
        <v>31</v>
      </c>
      <c r="B35" s="86" t="s">
        <v>414</v>
      </c>
      <c r="C35" s="175">
        <v>45849</v>
      </c>
      <c r="D35" s="205">
        <v>45855</v>
      </c>
      <c r="E35" s="52" t="s">
        <v>250</v>
      </c>
      <c r="F35" s="204">
        <v>7</v>
      </c>
      <c r="G35" s="204">
        <v>6</v>
      </c>
      <c r="H35" s="204">
        <v>1</v>
      </c>
      <c r="I35" s="204">
        <v>0</v>
      </c>
      <c r="J35" s="204">
        <v>0</v>
      </c>
      <c r="K35" s="204">
        <v>0</v>
      </c>
      <c r="L35" s="204">
        <v>1</v>
      </c>
      <c r="M35" s="204">
        <v>0</v>
      </c>
    </row>
    <row r="36" spans="1:13">
      <c r="A36" s="26">
        <v>32</v>
      </c>
      <c r="B36" s="24" t="s">
        <v>415</v>
      </c>
      <c r="C36" s="266">
        <v>45856</v>
      </c>
      <c r="D36" s="27"/>
      <c r="E36" s="27"/>
      <c r="F36" s="27">
        <v>14</v>
      </c>
      <c r="G36" s="27">
        <v>14</v>
      </c>
      <c r="H36" s="27"/>
      <c r="I36" s="27"/>
      <c r="J36" s="27"/>
      <c r="K36" s="27"/>
      <c r="L36" s="27">
        <v>1</v>
      </c>
      <c r="M36" s="27">
        <v>0</v>
      </c>
    </row>
    <row r="37" spans="1:13">
      <c r="A37" s="267">
        <v>33</v>
      </c>
      <c r="B37" s="37" t="s">
        <v>416</v>
      </c>
      <c r="C37" s="38">
        <v>45855</v>
      </c>
      <c r="D37" s="203">
        <v>45865</v>
      </c>
      <c r="E37" s="40" t="s">
        <v>17</v>
      </c>
      <c r="F37" s="201">
        <v>11</v>
      </c>
      <c r="G37" s="201">
        <v>11</v>
      </c>
      <c r="H37" s="201">
        <v>1</v>
      </c>
      <c r="I37" s="201">
        <v>1</v>
      </c>
      <c r="J37" s="201">
        <v>1</v>
      </c>
      <c r="K37" s="201">
        <v>0</v>
      </c>
      <c r="L37" s="201">
        <v>1</v>
      </c>
      <c r="M37" s="201">
        <v>0</v>
      </c>
    </row>
    <row r="38" spans="1:13">
      <c r="A38" s="252">
        <v>34</v>
      </c>
      <c r="B38" s="86" t="s">
        <v>417</v>
      </c>
      <c r="C38" s="175">
        <v>45853</v>
      </c>
      <c r="D38" s="205">
        <v>45866</v>
      </c>
      <c r="E38" s="52" t="s">
        <v>250</v>
      </c>
      <c r="F38" s="204">
        <v>14</v>
      </c>
      <c r="G38" s="204">
        <v>13</v>
      </c>
      <c r="H38" s="204">
        <v>1</v>
      </c>
      <c r="I38" s="204">
        <v>0</v>
      </c>
      <c r="J38" s="204">
        <v>0</v>
      </c>
      <c r="K38" s="204">
        <v>0</v>
      </c>
      <c r="L38" s="204">
        <v>1</v>
      </c>
      <c r="M38" s="204">
        <v>0</v>
      </c>
    </row>
    <row r="39" spans="1:13">
      <c r="A39" s="268">
        <v>35</v>
      </c>
      <c r="B39" s="67" t="s">
        <v>418</v>
      </c>
      <c r="C39" s="50">
        <v>45858</v>
      </c>
      <c r="D39" s="269">
        <v>45861</v>
      </c>
      <c r="E39" s="52" t="s">
        <v>250</v>
      </c>
      <c r="F39" s="192">
        <v>4</v>
      </c>
      <c r="G39" s="192">
        <v>3</v>
      </c>
      <c r="H39" s="192">
        <v>1</v>
      </c>
      <c r="I39" s="192">
        <v>0</v>
      </c>
      <c r="J39" s="192">
        <v>0</v>
      </c>
      <c r="K39" s="192">
        <v>0</v>
      </c>
      <c r="L39" s="192">
        <v>1</v>
      </c>
      <c r="M39" s="192">
        <v>0</v>
      </c>
    </row>
    <row r="40" spans="1:13">
      <c r="A40" s="26">
        <v>36</v>
      </c>
      <c r="B40" s="24" t="s">
        <v>419</v>
      </c>
      <c r="C40" s="32">
        <v>45856</v>
      </c>
      <c r="D40" s="27"/>
      <c r="E40" s="27"/>
      <c r="F40" s="27">
        <v>14</v>
      </c>
      <c r="G40" s="27">
        <v>14</v>
      </c>
      <c r="H40" s="27"/>
      <c r="I40" s="27"/>
      <c r="J40" s="27"/>
      <c r="K40" s="27"/>
      <c r="L40" s="27">
        <v>0</v>
      </c>
      <c r="M40" s="27">
        <v>1</v>
      </c>
    </row>
    <row r="41" spans="1:13">
      <c r="A41" s="251">
        <v>37</v>
      </c>
      <c r="B41" s="43" t="s">
        <v>420</v>
      </c>
      <c r="C41" s="44">
        <v>45855</v>
      </c>
      <c r="D41" s="71">
        <v>45856</v>
      </c>
      <c r="E41" s="46" t="s">
        <v>17</v>
      </c>
      <c r="F41" s="72">
        <v>2</v>
      </c>
      <c r="G41" s="72">
        <v>2</v>
      </c>
      <c r="H41" s="72">
        <v>1</v>
      </c>
      <c r="I41" s="72">
        <v>1</v>
      </c>
      <c r="J41" s="72">
        <v>0</v>
      </c>
      <c r="K41" s="72">
        <v>1</v>
      </c>
      <c r="L41" s="72">
        <v>1</v>
      </c>
      <c r="M41" s="72">
        <v>0</v>
      </c>
    </row>
    <row r="42" spans="1:13">
      <c r="A42" s="26">
        <v>38</v>
      </c>
      <c r="B42" s="24" t="s">
        <v>421</v>
      </c>
      <c r="C42" s="32">
        <v>45861</v>
      </c>
      <c r="D42" s="27"/>
      <c r="E42" s="27"/>
      <c r="F42" s="27">
        <v>9</v>
      </c>
      <c r="G42" s="27">
        <v>9</v>
      </c>
      <c r="H42" s="27"/>
      <c r="I42" s="27"/>
      <c r="J42" s="27"/>
      <c r="K42" s="27"/>
      <c r="L42" s="27">
        <v>0</v>
      </c>
      <c r="M42" s="27">
        <v>1</v>
      </c>
    </row>
    <row r="43" spans="1:13">
      <c r="A43" s="80">
        <v>39</v>
      </c>
      <c r="B43" s="24" t="s">
        <v>422</v>
      </c>
      <c r="C43" s="32">
        <v>45859</v>
      </c>
      <c r="D43" s="270"/>
      <c r="E43" s="270"/>
      <c r="F43" s="271">
        <v>11</v>
      </c>
      <c r="G43" s="271">
        <v>11</v>
      </c>
      <c r="H43" s="271"/>
      <c r="I43" s="271"/>
      <c r="J43" s="271"/>
      <c r="K43" s="271"/>
      <c r="L43" s="271">
        <v>1</v>
      </c>
      <c r="M43" s="271">
        <v>0</v>
      </c>
    </row>
    <row r="44" spans="1:13">
      <c r="A44" s="80">
        <v>40</v>
      </c>
      <c r="B44" s="127" t="s">
        <v>423</v>
      </c>
      <c r="C44" s="32">
        <v>45862</v>
      </c>
      <c r="D44" s="270"/>
      <c r="E44" s="270"/>
      <c r="F44" s="271">
        <v>8</v>
      </c>
      <c r="G44" s="271">
        <v>8</v>
      </c>
      <c r="H44" s="271"/>
      <c r="I44" s="271"/>
      <c r="J44" s="271"/>
      <c r="K44" s="271"/>
      <c r="L44" s="271">
        <v>1</v>
      </c>
      <c r="M44" s="271">
        <v>0</v>
      </c>
    </row>
    <row r="45" spans="1:13">
      <c r="A45" s="80">
        <v>41</v>
      </c>
      <c r="B45" s="272" t="s">
        <v>418</v>
      </c>
      <c r="C45" s="32">
        <v>45866</v>
      </c>
      <c r="D45" s="270"/>
      <c r="E45" s="270"/>
      <c r="F45" s="271">
        <v>4</v>
      </c>
      <c r="G45" s="271">
        <v>4</v>
      </c>
      <c r="H45" s="271"/>
      <c r="I45" s="271"/>
      <c r="J45" s="271"/>
      <c r="K45" s="271"/>
      <c r="L45" s="271">
        <v>1</v>
      </c>
      <c r="M45" s="271">
        <v>0</v>
      </c>
    </row>
    <row r="46" spans="1:13">
      <c r="A46" s="80">
        <v>42</v>
      </c>
      <c r="B46" s="80" t="s">
        <v>424</v>
      </c>
      <c r="C46" s="32">
        <v>45868</v>
      </c>
      <c r="D46" s="270"/>
      <c r="E46" s="270"/>
      <c r="F46" s="271">
        <v>2</v>
      </c>
      <c r="G46" s="271">
        <v>2</v>
      </c>
      <c r="H46" s="271"/>
      <c r="I46" s="271"/>
      <c r="J46" s="271"/>
      <c r="K46" s="271"/>
      <c r="L46" s="271">
        <v>1</v>
      </c>
      <c r="M46" s="271">
        <v>0</v>
      </c>
    </row>
    <row r="47" spans="1:13">
      <c r="A47" s="80">
        <v>43</v>
      </c>
      <c r="B47" s="80" t="s">
        <v>425</v>
      </c>
      <c r="C47" s="32">
        <v>45866</v>
      </c>
      <c r="D47" s="270"/>
      <c r="E47" s="270"/>
      <c r="F47" s="271">
        <v>4</v>
      </c>
      <c r="G47" s="271">
        <v>4</v>
      </c>
      <c r="H47" s="270"/>
      <c r="I47" s="270"/>
      <c r="J47" s="270"/>
      <c r="K47" s="270"/>
      <c r="L47" s="34">
        <v>1</v>
      </c>
      <c r="M47" s="34">
        <v>0</v>
      </c>
    </row>
    <row r="48" spans="1:13">
      <c r="A48" s="80">
        <v>44</v>
      </c>
      <c r="B48" s="80" t="s">
        <v>426</v>
      </c>
      <c r="C48" s="32">
        <v>45864</v>
      </c>
      <c r="D48" s="270"/>
      <c r="E48" s="270"/>
      <c r="F48" s="271">
        <v>6</v>
      </c>
      <c r="G48" s="271">
        <v>6</v>
      </c>
      <c r="H48" s="270"/>
      <c r="I48" s="270"/>
      <c r="J48" s="270"/>
      <c r="K48" s="270"/>
      <c r="L48" s="34">
        <v>0</v>
      </c>
      <c r="M48" s="34">
        <v>1</v>
      </c>
    </row>
    <row r="49" spans="1:13">
      <c r="A49" s="80">
        <v>45</v>
      </c>
      <c r="B49" s="80" t="s">
        <v>427</v>
      </c>
      <c r="C49" s="32">
        <v>45865</v>
      </c>
      <c r="D49" s="270"/>
      <c r="E49" s="270"/>
      <c r="F49" s="271">
        <v>5</v>
      </c>
      <c r="G49" s="271">
        <v>5</v>
      </c>
      <c r="H49" s="270"/>
      <c r="I49" s="270"/>
      <c r="J49" s="270"/>
      <c r="K49" s="270"/>
      <c r="L49" s="34">
        <v>1</v>
      </c>
      <c r="M49" s="34">
        <v>0</v>
      </c>
    </row>
    <row r="50" spans="1:13">
      <c r="A50" s="35">
        <v>46</v>
      </c>
      <c r="B50" s="273" t="s">
        <v>428</v>
      </c>
      <c r="C50" s="25">
        <v>45868</v>
      </c>
      <c r="D50" s="35"/>
      <c r="E50" s="35"/>
      <c r="F50" s="35">
        <v>2</v>
      </c>
      <c r="G50" s="35">
        <v>2</v>
      </c>
      <c r="H50" s="35"/>
      <c r="I50" s="35"/>
      <c r="J50" s="35"/>
      <c r="K50" s="35"/>
      <c r="L50" s="23">
        <v>1</v>
      </c>
      <c r="M50" s="23">
        <v>0</v>
      </c>
    </row>
    <row r="51" spans="1:13">
      <c r="A51" s="103"/>
      <c r="B51" s="104"/>
      <c r="C51" s="104"/>
      <c r="D51" s="104"/>
      <c r="E51" s="105"/>
      <c r="F51" s="179">
        <v>553</v>
      </c>
      <c r="G51" s="153">
        <v>539</v>
      </c>
      <c r="H51" s="107">
        <v>28</v>
      </c>
      <c r="I51" s="153">
        <v>8</v>
      </c>
      <c r="J51" s="153">
        <v>5</v>
      </c>
      <c r="K51" s="153">
        <v>3</v>
      </c>
      <c r="L51" s="153">
        <v>33</v>
      </c>
      <c r="M51" s="153">
        <v>13</v>
      </c>
    </row>
    <row r="52" spans="1:13">
      <c r="A52" s="108"/>
      <c r="B52" s="109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37"/>
    </row>
    <row r="53" spans="1:13" ht="38.25">
      <c r="A53" s="111"/>
      <c r="B53" s="109"/>
      <c r="C53" s="112" t="s">
        <v>91</v>
      </c>
      <c r="D53" s="113" t="s">
        <v>92</v>
      </c>
      <c r="E53" s="112" t="s">
        <v>93</v>
      </c>
      <c r="F53" s="113" t="s">
        <v>94</v>
      </c>
      <c r="G53" s="113" t="s">
        <v>95</v>
      </c>
      <c r="H53" s="113" t="s">
        <v>96</v>
      </c>
      <c r="I53" s="113" t="s">
        <v>97</v>
      </c>
      <c r="J53" s="113" t="s">
        <v>98</v>
      </c>
      <c r="K53" s="112" t="s">
        <v>99</v>
      </c>
      <c r="L53" s="138" t="s">
        <v>100</v>
      </c>
      <c r="M53" s="112" t="s">
        <v>101</v>
      </c>
    </row>
    <row r="54" spans="1:13">
      <c r="A54" s="111"/>
      <c r="B54" s="114"/>
      <c r="C54" s="115">
        <v>18</v>
      </c>
      <c r="D54" s="115">
        <v>31</v>
      </c>
      <c r="E54" s="115">
        <v>558</v>
      </c>
      <c r="F54" s="116">
        <f>F51</f>
        <v>553</v>
      </c>
      <c r="G54" s="117">
        <f>F54/E54</f>
        <v>0.99103942652329702</v>
      </c>
      <c r="H54" s="118">
        <f>F51/H51</f>
        <v>19.75</v>
      </c>
      <c r="I54" s="139">
        <f>I51/(L51+M51)</f>
        <v>0.173913043478261</v>
      </c>
      <c r="J54" s="139">
        <f>J51/I51</f>
        <v>0.625</v>
      </c>
      <c r="K54" s="140">
        <f>K51/(I51)</f>
        <v>0.375</v>
      </c>
      <c r="L54" s="141">
        <f>L51/(L51+M51)</f>
        <v>0.71739130434782605</v>
      </c>
      <c r="M54" s="140">
        <f>M51/(L51+M51)</f>
        <v>0.282608695652174</v>
      </c>
    </row>
    <row r="57" spans="1:13">
      <c r="B57" t="s">
        <v>344</v>
      </c>
    </row>
    <row r="58" spans="1:13" ht="25.5">
      <c r="A58" s="7" t="s">
        <v>1</v>
      </c>
      <c r="B58" s="10" t="s">
        <v>2</v>
      </c>
      <c r="C58" s="7" t="s">
        <v>3</v>
      </c>
      <c r="D58" s="7" t="s">
        <v>4</v>
      </c>
      <c r="E58" s="8" t="s">
        <v>5</v>
      </c>
      <c r="F58" s="9" t="s">
        <v>6</v>
      </c>
      <c r="G58" s="7" t="s">
        <v>7</v>
      </c>
      <c r="H58" s="10" t="s">
        <v>8</v>
      </c>
      <c r="I58" s="10" t="s">
        <v>9</v>
      </c>
      <c r="J58" s="8" t="s">
        <v>10</v>
      </c>
      <c r="K58" s="134" t="s">
        <v>11</v>
      </c>
      <c r="L58" s="135" t="s">
        <v>12</v>
      </c>
      <c r="M58" s="134" t="s">
        <v>13</v>
      </c>
    </row>
    <row r="59" spans="1:13">
      <c r="A59" s="101">
        <v>1</v>
      </c>
      <c r="B59" s="28" t="s">
        <v>320</v>
      </c>
      <c r="C59" s="199">
        <v>45807</v>
      </c>
      <c r="D59" s="84">
        <v>45839</v>
      </c>
      <c r="E59" s="21" t="s">
        <v>36</v>
      </c>
      <c r="F59" s="102">
        <v>1</v>
      </c>
      <c r="G59" s="102">
        <v>1</v>
      </c>
      <c r="H59" s="102">
        <v>1</v>
      </c>
      <c r="I59" s="102">
        <v>0</v>
      </c>
      <c r="J59" s="102">
        <v>0</v>
      </c>
      <c r="K59" s="102">
        <v>0</v>
      </c>
      <c r="L59" s="102">
        <v>1</v>
      </c>
      <c r="M59" s="102">
        <v>0</v>
      </c>
    </row>
    <row r="60" spans="1:13">
      <c r="A60" s="125">
        <v>2</v>
      </c>
      <c r="B60" s="28" t="s">
        <v>337</v>
      </c>
      <c r="C60" s="20">
        <v>45838</v>
      </c>
      <c r="D60" s="126">
        <v>45842</v>
      </c>
      <c r="E60" s="21" t="s">
        <v>36</v>
      </c>
      <c r="F60" s="22">
        <v>4</v>
      </c>
      <c r="G60" s="22">
        <v>4</v>
      </c>
      <c r="H60" s="22">
        <v>1</v>
      </c>
      <c r="I60" s="22">
        <v>0</v>
      </c>
      <c r="J60" s="22">
        <v>0</v>
      </c>
      <c r="K60" s="22">
        <v>0</v>
      </c>
      <c r="L60" s="22">
        <v>1</v>
      </c>
      <c r="M60" s="22">
        <v>0</v>
      </c>
    </row>
    <row r="61" spans="1:13">
      <c r="A61" s="274">
        <v>3</v>
      </c>
      <c r="B61" s="275" t="s">
        <v>338</v>
      </c>
      <c r="C61" s="276">
        <v>45838</v>
      </c>
      <c r="D61" s="136"/>
      <c r="E61" s="136"/>
      <c r="F61" s="136">
        <v>31</v>
      </c>
      <c r="G61" s="136">
        <v>31</v>
      </c>
      <c r="H61" s="136"/>
      <c r="I61" s="136"/>
      <c r="J61" s="136"/>
      <c r="K61" s="136"/>
      <c r="L61" s="136">
        <v>1</v>
      </c>
      <c r="M61" s="136">
        <v>0</v>
      </c>
    </row>
    <row r="62" spans="1:13">
      <c r="A62" s="125">
        <v>4</v>
      </c>
      <c r="B62" s="18" t="s">
        <v>429</v>
      </c>
      <c r="C62" s="55">
        <v>45841</v>
      </c>
      <c r="D62" s="126">
        <v>45843</v>
      </c>
      <c r="E62" s="21" t="s">
        <v>36</v>
      </c>
      <c r="F62" s="22">
        <v>5</v>
      </c>
      <c r="G62" s="22">
        <v>5</v>
      </c>
      <c r="H62" s="22">
        <v>1</v>
      </c>
      <c r="I62" s="22">
        <v>0</v>
      </c>
      <c r="J62" s="22">
        <v>0</v>
      </c>
      <c r="K62" s="22">
        <v>0</v>
      </c>
      <c r="L62" s="22">
        <v>0</v>
      </c>
      <c r="M62" s="22">
        <v>1</v>
      </c>
    </row>
    <row r="63" spans="1:13">
      <c r="A63" s="125">
        <v>5</v>
      </c>
      <c r="B63" s="133" t="s">
        <v>371</v>
      </c>
      <c r="C63" s="20">
        <v>45842</v>
      </c>
      <c r="D63" s="126">
        <v>45851</v>
      </c>
      <c r="E63" s="21" t="s">
        <v>36</v>
      </c>
      <c r="F63" s="22">
        <v>10</v>
      </c>
      <c r="G63" s="22">
        <v>10</v>
      </c>
      <c r="H63" s="22">
        <v>1</v>
      </c>
      <c r="I63" s="22">
        <v>0</v>
      </c>
      <c r="J63" s="22">
        <v>0</v>
      </c>
      <c r="K63" s="22">
        <v>0</v>
      </c>
      <c r="L63" s="22">
        <v>1</v>
      </c>
      <c r="M63" s="22">
        <v>0</v>
      </c>
    </row>
    <row r="64" spans="1:13">
      <c r="A64" s="277">
        <v>6</v>
      </c>
      <c r="B64" s="214" t="s">
        <v>430</v>
      </c>
      <c r="C64" s="242">
        <v>45845</v>
      </c>
      <c r="D64" s="232">
        <v>45855</v>
      </c>
      <c r="E64" s="217" t="s">
        <v>431</v>
      </c>
      <c r="F64" s="233">
        <v>11</v>
      </c>
      <c r="G64" s="233">
        <v>10</v>
      </c>
      <c r="H64" s="233">
        <v>1</v>
      </c>
      <c r="I64" s="233">
        <v>0</v>
      </c>
      <c r="J64" s="233">
        <v>0</v>
      </c>
      <c r="K64" s="233">
        <v>0</v>
      </c>
      <c r="L64" s="233">
        <v>0</v>
      </c>
      <c r="M64" s="233">
        <v>1</v>
      </c>
    </row>
    <row r="65" spans="1:13">
      <c r="A65" s="101">
        <v>7</v>
      </c>
      <c r="B65" s="28" t="s">
        <v>432</v>
      </c>
      <c r="C65" s="84">
        <v>45848</v>
      </c>
      <c r="D65" s="199">
        <v>45856</v>
      </c>
      <c r="E65" s="21" t="s">
        <v>36</v>
      </c>
      <c r="F65" s="102">
        <v>9</v>
      </c>
      <c r="G65" s="102">
        <v>9</v>
      </c>
      <c r="H65" s="102">
        <v>1</v>
      </c>
      <c r="I65" s="102">
        <v>0</v>
      </c>
      <c r="J65" s="102">
        <v>0</v>
      </c>
      <c r="K65" s="102">
        <v>0</v>
      </c>
      <c r="L65" s="102">
        <v>1</v>
      </c>
      <c r="M65" s="102">
        <v>0</v>
      </c>
    </row>
    <row r="66" spans="1:13">
      <c r="A66" s="278">
        <v>8</v>
      </c>
      <c r="B66" s="279" t="s">
        <v>433</v>
      </c>
      <c r="C66" s="280">
        <v>45854</v>
      </c>
      <c r="D66" s="281">
        <v>45856</v>
      </c>
      <c r="E66" s="278" t="s">
        <v>434</v>
      </c>
      <c r="F66" s="183">
        <v>3</v>
      </c>
      <c r="G66" s="183">
        <v>2</v>
      </c>
      <c r="H66" s="183">
        <v>1</v>
      </c>
      <c r="I66" s="183">
        <v>0</v>
      </c>
      <c r="J66" s="183">
        <v>0</v>
      </c>
      <c r="K66" s="183">
        <v>0</v>
      </c>
      <c r="L66" s="183">
        <v>1</v>
      </c>
      <c r="M66" s="183">
        <v>0</v>
      </c>
    </row>
    <row r="67" spans="1:13">
      <c r="A67" s="101">
        <v>9</v>
      </c>
      <c r="B67" s="28" t="s">
        <v>395</v>
      </c>
      <c r="C67" s="167">
        <v>45856</v>
      </c>
      <c r="D67" s="84">
        <v>45860</v>
      </c>
      <c r="E67" s="21" t="s">
        <v>36</v>
      </c>
      <c r="F67" s="102">
        <v>5</v>
      </c>
      <c r="G67" s="102">
        <v>5</v>
      </c>
      <c r="H67" s="102"/>
      <c r="I67" s="102"/>
      <c r="J67" s="102"/>
      <c r="K67" s="102"/>
      <c r="L67" s="102">
        <v>0</v>
      </c>
      <c r="M67" s="102">
        <v>1</v>
      </c>
    </row>
    <row r="68" spans="1:13">
      <c r="A68" s="125">
        <v>10</v>
      </c>
      <c r="B68" s="28" t="s">
        <v>414</v>
      </c>
      <c r="C68" s="29">
        <v>45855</v>
      </c>
      <c r="D68" s="20">
        <v>45862</v>
      </c>
      <c r="E68" s="21" t="s">
        <v>36</v>
      </c>
      <c r="F68" s="22">
        <v>8</v>
      </c>
      <c r="G68" s="22">
        <v>8</v>
      </c>
      <c r="H68" s="22">
        <v>1</v>
      </c>
      <c r="I68" s="22">
        <v>0</v>
      </c>
      <c r="J68" s="22">
        <v>0</v>
      </c>
      <c r="K68" s="22">
        <v>0</v>
      </c>
      <c r="L68" s="22">
        <v>1</v>
      </c>
      <c r="M68" s="22">
        <v>0</v>
      </c>
    </row>
    <row r="69" spans="1:13">
      <c r="A69" s="254">
        <v>11</v>
      </c>
      <c r="B69" s="164" t="s">
        <v>404</v>
      </c>
      <c r="C69" s="58">
        <v>45858</v>
      </c>
      <c r="D69" s="200">
        <v>45862</v>
      </c>
      <c r="E69" s="60" t="s">
        <v>255</v>
      </c>
      <c r="F69" s="189">
        <v>5</v>
      </c>
      <c r="G69" s="189">
        <v>4</v>
      </c>
      <c r="H69" s="189">
        <v>1</v>
      </c>
      <c r="I69" s="189">
        <v>0</v>
      </c>
      <c r="J69" s="189">
        <v>0</v>
      </c>
      <c r="K69" s="189">
        <v>0</v>
      </c>
      <c r="L69" s="189">
        <v>1</v>
      </c>
      <c r="M69" s="189">
        <v>0</v>
      </c>
    </row>
    <row r="70" spans="1:13">
      <c r="A70" s="125">
        <v>12</v>
      </c>
      <c r="B70" s="282" t="s">
        <v>373</v>
      </c>
      <c r="C70" s="29">
        <v>45862</v>
      </c>
      <c r="D70" s="20">
        <v>45868</v>
      </c>
      <c r="E70" s="21" t="s">
        <v>36</v>
      </c>
      <c r="F70" s="22">
        <v>7</v>
      </c>
      <c r="G70" s="22">
        <v>7</v>
      </c>
      <c r="H70" s="22">
        <v>1</v>
      </c>
      <c r="I70" s="22">
        <v>0</v>
      </c>
      <c r="J70" s="22">
        <v>0</v>
      </c>
      <c r="K70" s="22">
        <v>0</v>
      </c>
      <c r="L70" s="22">
        <v>1</v>
      </c>
      <c r="M70" s="22">
        <v>0</v>
      </c>
    </row>
    <row r="71" spans="1:13">
      <c r="A71" s="283">
        <v>13</v>
      </c>
      <c r="B71" s="284" t="s">
        <v>418</v>
      </c>
      <c r="C71" s="285" t="s">
        <v>435</v>
      </c>
      <c r="D71" s="286">
        <v>45866</v>
      </c>
      <c r="E71" s="283" t="s">
        <v>434</v>
      </c>
      <c r="F71" s="287">
        <v>5</v>
      </c>
      <c r="G71" s="287">
        <v>4</v>
      </c>
      <c r="H71" s="287">
        <v>1</v>
      </c>
      <c r="I71" s="287">
        <v>0</v>
      </c>
      <c r="J71" s="287">
        <v>0</v>
      </c>
      <c r="K71" s="287">
        <v>0</v>
      </c>
      <c r="L71" s="287">
        <v>1</v>
      </c>
      <c r="M71" s="287">
        <v>0</v>
      </c>
    </row>
    <row r="72" spans="1:13">
      <c r="A72" s="125">
        <v>14</v>
      </c>
      <c r="B72" s="28" t="s">
        <v>417</v>
      </c>
      <c r="C72" s="288" t="s">
        <v>436</v>
      </c>
      <c r="D72" s="20">
        <v>45867</v>
      </c>
      <c r="E72" s="21" t="s">
        <v>36</v>
      </c>
      <c r="F72" s="22">
        <v>2</v>
      </c>
      <c r="G72" s="22">
        <v>2</v>
      </c>
      <c r="H72" s="22">
        <v>1</v>
      </c>
      <c r="I72" s="22">
        <v>0</v>
      </c>
      <c r="J72" s="22">
        <v>0</v>
      </c>
      <c r="K72" s="22">
        <v>0</v>
      </c>
      <c r="L72" s="22">
        <v>1</v>
      </c>
      <c r="M72" s="22">
        <v>0</v>
      </c>
    </row>
    <row r="73" spans="1:13">
      <c r="A73" s="26">
        <v>15</v>
      </c>
      <c r="B73" s="81" t="s">
        <v>363</v>
      </c>
      <c r="C73" s="289" t="s">
        <v>390</v>
      </c>
      <c r="D73" s="26"/>
      <c r="E73" s="26"/>
      <c r="F73" s="27">
        <v>6</v>
      </c>
      <c r="G73" s="27">
        <v>6</v>
      </c>
      <c r="H73" s="27"/>
      <c r="I73" s="27"/>
      <c r="J73" s="27"/>
      <c r="K73" s="27"/>
      <c r="L73" s="27">
        <v>0</v>
      </c>
      <c r="M73" s="27">
        <v>1</v>
      </c>
    </row>
    <row r="74" spans="1:13">
      <c r="A74" s="103"/>
      <c r="B74" s="104"/>
      <c r="C74" s="104"/>
      <c r="D74" s="104"/>
      <c r="E74" s="105"/>
      <c r="F74" s="196">
        <v>112</v>
      </c>
      <c r="G74" s="153">
        <v>108</v>
      </c>
      <c r="H74" s="107">
        <v>12</v>
      </c>
      <c r="I74" s="153">
        <v>0</v>
      </c>
      <c r="J74" s="153">
        <v>0</v>
      </c>
      <c r="K74" s="153">
        <v>0</v>
      </c>
      <c r="L74" s="153">
        <v>11</v>
      </c>
      <c r="M74" s="153">
        <v>4</v>
      </c>
    </row>
    <row r="75" spans="1:13">
      <c r="A75" s="108"/>
      <c r="B75" s="147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54"/>
    </row>
    <row r="76" spans="1:13" ht="38.25">
      <c r="A76" s="111"/>
      <c r="B76" s="148"/>
      <c r="C76" s="112" t="s">
        <v>91</v>
      </c>
      <c r="D76" s="113" t="s">
        <v>92</v>
      </c>
      <c r="E76" s="112" t="s">
        <v>93</v>
      </c>
      <c r="F76" s="113" t="s">
        <v>94</v>
      </c>
      <c r="G76" s="113" t="s">
        <v>95</v>
      </c>
      <c r="H76" s="113" t="s">
        <v>96</v>
      </c>
      <c r="I76" s="113" t="s">
        <v>97</v>
      </c>
      <c r="J76" s="113" t="s">
        <v>98</v>
      </c>
      <c r="K76" s="112" t="s">
        <v>99</v>
      </c>
      <c r="L76" s="138" t="s">
        <v>100</v>
      </c>
      <c r="M76" s="112" t="s">
        <v>101</v>
      </c>
    </row>
    <row r="77" spans="1:13">
      <c r="A77" s="111"/>
      <c r="B77" s="114"/>
      <c r="C77" s="115">
        <v>4</v>
      </c>
      <c r="D77" s="115">
        <v>31</v>
      </c>
      <c r="E77" s="115">
        <v>124</v>
      </c>
      <c r="F77" s="116">
        <v>112</v>
      </c>
      <c r="G77" s="117">
        <f>F77/E77</f>
        <v>0.90322580645161299</v>
      </c>
      <c r="H77" s="118">
        <f>F74/H74</f>
        <v>9.3333333333333304</v>
      </c>
      <c r="I77" s="139">
        <f>I74/(L74+M74)</f>
        <v>0</v>
      </c>
      <c r="J77" s="139">
        <f>J74/(M74+N70)</f>
        <v>0</v>
      </c>
      <c r="K77" s="139" t="e">
        <f>K74/(N70+O70)</f>
        <v>#DIV/0!</v>
      </c>
      <c r="L77" s="141">
        <f>L74/(L74+M74)</f>
        <v>0.73333333333333295</v>
      </c>
      <c r="M77" s="140">
        <f>M74/(L74+M74)</f>
        <v>0.266666666666667</v>
      </c>
    </row>
    <row r="79" spans="1:13">
      <c r="B79" t="s">
        <v>354</v>
      </c>
    </row>
    <row r="80" spans="1:13" ht="25.5">
      <c r="A80" s="7" t="s">
        <v>1</v>
      </c>
      <c r="B80" s="10" t="s">
        <v>2</v>
      </c>
      <c r="C80" s="7" t="s">
        <v>3</v>
      </c>
      <c r="D80" s="7" t="s">
        <v>4</v>
      </c>
      <c r="E80" s="8" t="s">
        <v>5</v>
      </c>
      <c r="F80" s="9" t="s">
        <v>6</v>
      </c>
      <c r="G80" s="7" t="s">
        <v>7</v>
      </c>
      <c r="H80" s="10" t="s">
        <v>8</v>
      </c>
      <c r="I80" s="10" t="s">
        <v>9</v>
      </c>
      <c r="J80" s="8" t="s">
        <v>10</v>
      </c>
      <c r="K80" s="134" t="s">
        <v>11</v>
      </c>
      <c r="L80" s="135" t="s">
        <v>12</v>
      </c>
      <c r="M80" s="134" t="s">
        <v>13</v>
      </c>
    </row>
    <row r="81" spans="1:13">
      <c r="A81" s="235">
        <v>1</v>
      </c>
      <c r="B81" s="18" t="s">
        <v>335</v>
      </c>
      <c r="C81" s="290">
        <v>45836</v>
      </c>
      <c r="D81" s="20">
        <v>45843</v>
      </c>
      <c r="E81" s="21" t="s">
        <v>36</v>
      </c>
      <c r="F81" s="22">
        <v>5</v>
      </c>
      <c r="G81" s="22">
        <v>5</v>
      </c>
      <c r="H81" s="22">
        <v>1</v>
      </c>
      <c r="I81" s="22">
        <v>0</v>
      </c>
      <c r="J81" s="22">
        <v>0</v>
      </c>
      <c r="K81" s="22">
        <v>0</v>
      </c>
      <c r="L81" s="22">
        <v>0</v>
      </c>
      <c r="M81" s="22">
        <v>1</v>
      </c>
    </row>
    <row r="82" spans="1:13">
      <c r="A82" s="235">
        <v>2</v>
      </c>
      <c r="B82" s="18" t="s">
        <v>333</v>
      </c>
      <c r="C82" s="290">
        <v>45836</v>
      </c>
      <c r="D82" s="20">
        <v>45843</v>
      </c>
      <c r="E82" s="21" t="s">
        <v>36</v>
      </c>
      <c r="F82" s="22">
        <v>5</v>
      </c>
      <c r="G82" s="22">
        <v>5</v>
      </c>
      <c r="H82" s="22">
        <v>1</v>
      </c>
      <c r="I82" s="22">
        <v>0</v>
      </c>
      <c r="J82" s="22">
        <v>0</v>
      </c>
      <c r="K82" s="22">
        <v>0</v>
      </c>
      <c r="L82" s="22">
        <v>1</v>
      </c>
      <c r="M82" s="22">
        <v>0</v>
      </c>
    </row>
    <row r="83" spans="1:13">
      <c r="A83" s="22">
        <v>3</v>
      </c>
      <c r="B83" s="82" t="s">
        <v>368</v>
      </c>
      <c r="C83" s="126">
        <v>45838</v>
      </c>
      <c r="D83" s="126">
        <v>45853</v>
      </c>
      <c r="E83" s="21" t="s">
        <v>36</v>
      </c>
      <c r="F83" s="22">
        <v>15</v>
      </c>
      <c r="G83" s="22">
        <v>15</v>
      </c>
      <c r="H83" s="22">
        <v>1</v>
      </c>
      <c r="I83" s="22">
        <v>0</v>
      </c>
      <c r="J83" s="22">
        <v>0</v>
      </c>
      <c r="K83" s="22">
        <v>0</v>
      </c>
      <c r="L83" s="22">
        <v>1</v>
      </c>
      <c r="M83" s="22">
        <v>0</v>
      </c>
    </row>
    <row r="84" spans="1:13">
      <c r="A84" s="22">
        <v>4</v>
      </c>
      <c r="B84" s="133" t="s">
        <v>391</v>
      </c>
      <c r="C84" s="126">
        <v>45846</v>
      </c>
      <c r="D84" s="126">
        <v>45853</v>
      </c>
      <c r="E84" s="21" t="s">
        <v>36</v>
      </c>
      <c r="F84" s="22">
        <v>8</v>
      </c>
      <c r="G84" s="22">
        <v>8</v>
      </c>
      <c r="H84" s="22">
        <v>1</v>
      </c>
      <c r="I84" s="22">
        <v>0</v>
      </c>
      <c r="J84" s="22">
        <v>0</v>
      </c>
      <c r="K84" s="22">
        <v>0</v>
      </c>
      <c r="L84" s="22">
        <v>0</v>
      </c>
      <c r="M84" s="22">
        <v>1</v>
      </c>
    </row>
    <row r="85" spans="1:13">
      <c r="A85" s="125">
        <v>5</v>
      </c>
      <c r="B85" s="28" t="s">
        <v>396</v>
      </c>
      <c r="C85" s="20">
        <v>45851</v>
      </c>
      <c r="D85" s="20">
        <v>45860</v>
      </c>
      <c r="E85" s="21" t="s">
        <v>36</v>
      </c>
      <c r="F85" s="22">
        <v>10</v>
      </c>
      <c r="G85" s="22">
        <v>10</v>
      </c>
      <c r="H85" s="22">
        <v>1</v>
      </c>
      <c r="I85" s="22">
        <v>0</v>
      </c>
      <c r="J85" s="22">
        <v>0</v>
      </c>
      <c r="K85" s="22">
        <v>0</v>
      </c>
      <c r="L85" s="22">
        <v>1</v>
      </c>
      <c r="M85" s="22">
        <v>0</v>
      </c>
    </row>
    <row r="86" spans="1:13">
      <c r="A86" s="125">
        <v>6</v>
      </c>
      <c r="B86" s="28" t="s">
        <v>404</v>
      </c>
      <c r="C86" s="20">
        <v>45862</v>
      </c>
      <c r="D86" s="20">
        <v>45864</v>
      </c>
      <c r="E86" s="21" t="s">
        <v>36</v>
      </c>
      <c r="F86" s="22">
        <v>3</v>
      </c>
      <c r="G86" s="22">
        <v>3</v>
      </c>
      <c r="H86" s="22">
        <v>1</v>
      </c>
      <c r="I86" s="22">
        <v>0</v>
      </c>
      <c r="J86" s="22">
        <v>0</v>
      </c>
      <c r="K86" s="22">
        <v>0</v>
      </c>
      <c r="L86" s="22">
        <v>1</v>
      </c>
      <c r="M86" s="22">
        <v>0</v>
      </c>
    </row>
    <row r="87" spans="1:13">
      <c r="A87" s="26">
        <v>7</v>
      </c>
      <c r="B87" s="145" t="s">
        <v>364</v>
      </c>
      <c r="C87" s="291">
        <v>45865</v>
      </c>
      <c r="D87" s="26"/>
      <c r="E87" s="26"/>
      <c r="F87" s="27">
        <v>5</v>
      </c>
      <c r="G87" s="27">
        <v>5</v>
      </c>
      <c r="H87" s="27"/>
      <c r="I87" s="27"/>
      <c r="J87" s="27"/>
      <c r="K87" s="27"/>
      <c r="L87" s="27">
        <v>1</v>
      </c>
      <c r="M87" s="27">
        <v>0</v>
      </c>
    </row>
    <row r="88" spans="1:13">
      <c r="A88" s="26">
        <v>8</v>
      </c>
      <c r="B88" s="127" t="s">
        <v>411</v>
      </c>
      <c r="C88" s="291">
        <v>45867</v>
      </c>
      <c r="D88" s="26"/>
      <c r="E88" s="26"/>
      <c r="F88" s="27">
        <v>4</v>
      </c>
      <c r="G88" s="27">
        <v>4</v>
      </c>
      <c r="H88" s="27"/>
      <c r="I88" s="27"/>
      <c r="J88" s="27"/>
      <c r="K88" s="27"/>
      <c r="L88" s="27">
        <v>0</v>
      </c>
      <c r="M88" s="27">
        <v>1</v>
      </c>
    </row>
    <row r="89" spans="1:13">
      <c r="A89" s="26">
        <v>9</v>
      </c>
      <c r="B89" s="145" t="s">
        <v>393</v>
      </c>
      <c r="C89" s="291">
        <v>45869</v>
      </c>
      <c r="D89" s="26"/>
      <c r="E89" s="26"/>
      <c r="F89" s="27">
        <v>1</v>
      </c>
      <c r="G89" s="27">
        <v>1</v>
      </c>
      <c r="H89" s="27"/>
      <c r="I89" s="27"/>
      <c r="J89" s="27"/>
      <c r="K89" s="27"/>
      <c r="L89" s="27">
        <v>1</v>
      </c>
      <c r="M89" s="27">
        <v>0</v>
      </c>
    </row>
    <row r="90" spans="1:13">
      <c r="A90" s="103"/>
      <c r="B90" s="104"/>
      <c r="C90" s="104"/>
      <c r="D90" s="104"/>
      <c r="E90" s="105"/>
      <c r="F90" s="196">
        <v>56</v>
      </c>
      <c r="G90" s="153">
        <v>56</v>
      </c>
      <c r="H90" s="107">
        <v>6</v>
      </c>
      <c r="I90" s="153">
        <v>0</v>
      </c>
      <c r="J90" s="153">
        <v>0</v>
      </c>
      <c r="K90" s="153">
        <v>0</v>
      </c>
      <c r="L90" s="153">
        <v>6</v>
      </c>
      <c r="M90" s="153">
        <v>3</v>
      </c>
    </row>
    <row r="91" spans="1:13">
      <c r="A91" s="108"/>
      <c r="B91" s="147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54"/>
    </row>
    <row r="92" spans="1:13" ht="38.25">
      <c r="A92" s="111"/>
      <c r="B92" s="148"/>
      <c r="C92" s="112" t="s">
        <v>91</v>
      </c>
      <c r="D92" s="113" t="s">
        <v>92</v>
      </c>
      <c r="E92" s="112" t="s">
        <v>93</v>
      </c>
      <c r="F92" s="113" t="s">
        <v>94</v>
      </c>
      <c r="G92" s="113" t="s">
        <v>95</v>
      </c>
      <c r="H92" s="113" t="s">
        <v>96</v>
      </c>
      <c r="I92" s="113" t="s">
        <v>97</v>
      </c>
      <c r="J92" s="113" t="s">
        <v>98</v>
      </c>
      <c r="K92" s="112" t="s">
        <v>99</v>
      </c>
      <c r="L92" s="138" t="s">
        <v>100</v>
      </c>
      <c r="M92" s="112" t="s">
        <v>101</v>
      </c>
    </row>
    <row r="93" spans="1:13">
      <c r="A93" s="111"/>
      <c r="B93" s="114"/>
      <c r="C93" s="115">
        <v>3</v>
      </c>
      <c r="D93" s="115">
        <v>31</v>
      </c>
      <c r="E93" s="115">
        <v>93</v>
      </c>
      <c r="F93" s="116">
        <f>F90</f>
        <v>56</v>
      </c>
      <c r="G93" s="117">
        <f>F93/E93</f>
        <v>0.60215053763440896</v>
      </c>
      <c r="H93" s="118">
        <f>F90/H90</f>
        <v>9.3333333333333304</v>
      </c>
      <c r="I93" s="139">
        <f>I90/(L90+M90)</f>
        <v>0</v>
      </c>
      <c r="J93" s="139" t="e">
        <f>J90/I90</f>
        <v>#DIV/0!</v>
      </c>
      <c r="K93" s="140" t="e">
        <f>K90/(I90)</f>
        <v>#DIV/0!</v>
      </c>
      <c r="L93" s="141">
        <f>L90/(L90+M90)</f>
        <v>0.66666666666666696</v>
      </c>
      <c r="M93" s="140">
        <f>M90/(L90+M90)</f>
        <v>0.33333333333333298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M98"/>
  <sheetViews>
    <sheetView topLeftCell="A58" workbookViewId="0">
      <selection activeCell="E77" sqref="E77"/>
    </sheetView>
  </sheetViews>
  <sheetFormatPr defaultColWidth="9" defaultRowHeight="15"/>
  <cols>
    <col min="1" max="1" width="4.7109375" customWidth="1"/>
    <col min="2" max="2" width="38.42578125" customWidth="1"/>
    <col min="3" max="3" width="11.85546875" customWidth="1"/>
    <col min="4" max="4" width="12.5703125" customWidth="1"/>
    <col min="5" max="5" width="16.7109375" customWidth="1"/>
    <col min="7" max="7" width="9.28515625" customWidth="1"/>
  </cols>
  <sheetData>
    <row r="1" spans="1:13">
      <c r="A1" s="666" t="s">
        <v>437</v>
      </c>
      <c r="B1" s="666"/>
      <c r="C1" s="666"/>
      <c r="D1" s="666"/>
      <c r="E1" s="666"/>
      <c r="F1" s="666"/>
      <c r="G1" s="1">
        <v>45870</v>
      </c>
      <c r="H1" s="2"/>
      <c r="I1" s="2"/>
      <c r="J1" s="2"/>
      <c r="K1" s="2"/>
      <c r="L1" s="2"/>
      <c r="M1" s="2"/>
    </row>
    <row r="3" spans="1:13">
      <c r="B3" s="3" t="s">
        <v>246</v>
      </c>
    </row>
    <row r="4" spans="1:13" ht="25.5">
      <c r="A4" s="4" t="s">
        <v>1</v>
      </c>
      <c r="B4" s="5" t="s">
        <v>2</v>
      </c>
      <c r="C4" s="155" t="s">
        <v>3</v>
      </c>
      <c r="D4" s="7" t="s">
        <v>4</v>
      </c>
      <c r="E4" s="8" t="s">
        <v>5</v>
      </c>
      <c r="F4" s="9" t="s">
        <v>6</v>
      </c>
      <c r="G4" s="7" t="s">
        <v>7</v>
      </c>
      <c r="H4" s="10" t="s">
        <v>8</v>
      </c>
      <c r="I4" s="10" t="s">
        <v>9</v>
      </c>
      <c r="J4" s="8" t="s">
        <v>10</v>
      </c>
      <c r="K4" s="134" t="s">
        <v>11</v>
      </c>
      <c r="L4" s="135" t="s">
        <v>12</v>
      </c>
      <c r="M4" s="134" t="s">
        <v>13</v>
      </c>
    </row>
    <row r="5" spans="1:13">
      <c r="A5" s="22">
        <v>1</v>
      </c>
      <c r="B5" s="28" t="s">
        <v>379</v>
      </c>
      <c r="C5" s="55">
        <v>45833</v>
      </c>
      <c r="D5" s="20">
        <v>45880</v>
      </c>
      <c r="E5" s="21" t="s">
        <v>36</v>
      </c>
      <c r="F5" s="54">
        <v>11</v>
      </c>
      <c r="G5" s="54">
        <v>11</v>
      </c>
      <c r="H5" s="22">
        <v>1</v>
      </c>
      <c r="I5" s="22">
        <v>0</v>
      </c>
      <c r="J5" s="22">
        <v>0</v>
      </c>
      <c r="K5" s="22">
        <v>0</v>
      </c>
      <c r="L5" s="22">
        <v>1</v>
      </c>
      <c r="M5" s="22">
        <v>0</v>
      </c>
    </row>
    <row r="6" spans="1:13">
      <c r="A6" s="102">
        <v>2</v>
      </c>
      <c r="B6" s="28" t="s">
        <v>394</v>
      </c>
      <c r="C6" s="151">
        <v>45838</v>
      </c>
      <c r="D6" s="84">
        <v>45878</v>
      </c>
      <c r="E6" s="21" t="s">
        <v>36</v>
      </c>
      <c r="F6" s="102">
        <v>9</v>
      </c>
      <c r="G6" s="102">
        <v>9</v>
      </c>
      <c r="H6" s="102">
        <v>1</v>
      </c>
      <c r="I6" s="102">
        <v>0</v>
      </c>
      <c r="J6" s="102">
        <v>0</v>
      </c>
      <c r="K6" s="102">
        <v>0</v>
      </c>
      <c r="L6" s="102">
        <v>0</v>
      </c>
      <c r="M6" s="102">
        <v>1</v>
      </c>
    </row>
    <row r="7" spans="1:13">
      <c r="A7" s="102">
        <v>3</v>
      </c>
      <c r="B7" s="28" t="s">
        <v>398</v>
      </c>
      <c r="C7" s="151">
        <v>45841</v>
      </c>
      <c r="D7" s="199">
        <v>45878</v>
      </c>
      <c r="E7" s="21" t="s">
        <v>36</v>
      </c>
      <c r="F7" s="102">
        <v>9</v>
      </c>
      <c r="G7" s="102">
        <v>9</v>
      </c>
      <c r="H7" s="102">
        <v>1</v>
      </c>
      <c r="I7" s="102">
        <v>0</v>
      </c>
      <c r="J7" s="102">
        <v>0</v>
      </c>
      <c r="K7" s="102">
        <v>0</v>
      </c>
      <c r="L7" s="102">
        <v>1</v>
      </c>
      <c r="M7" s="102">
        <v>0</v>
      </c>
    </row>
    <row r="8" spans="1:13">
      <c r="A8" s="189">
        <v>4</v>
      </c>
      <c r="B8" s="164" t="s">
        <v>407</v>
      </c>
      <c r="C8" s="187">
        <v>45853</v>
      </c>
      <c r="D8" s="200">
        <v>45873</v>
      </c>
      <c r="E8" s="60" t="s">
        <v>255</v>
      </c>
      <c r="F8" s="189">
        <v>4</v>
      </c>
      <c r="G8" s="189">
        <v>3</v>
      </c>
      <c r="H8" s="189">
        <v>1</v>
      </c>
      <c r="I8" s="189">
        <v>0</v>
      </c>
      <c r="J8" s="189">
        <v>0</v>
      </c>
      <c r="K8" s="189">
        <v>0</v>
      </c>
      <c r="L8" s="189">
        <v>0</v>
      </c>
      <c r="M8" s="189">
        <v>1</v>
      </c>
    </row>
    <row r="9" spans="1:13">
      <c r="A9" s="201">
        <v>5</v>
      </c>
      <c r="B9" s="37" t="s">
        <v>409</v>
      </c>
      <c r="C9" s="202" t="s">
        <v>410</v>
      </c>
      <c r="D9" s="203">
        <v>45870</v>
      </c>
      <c r="E9" s="40" t="s">
        <v>17</v>
      </c>
      <c r="F9" s="201">
        <v>1</v>
      </c>
      <c r="G9" s="201">
        <v>1</v>
      </c>
      <c r="H9" s="201">
        <v>1</v>
      </c>
      <c r="I9" s="201">
        <v>1</v>
      </c>
      <c r="J9" s="201">
        <v>1</v>
      </c>
      <c r="K9" s="201">
        <v>0</v>
      </c>
      <c r="L9" s="201">
        <v>0</v>
      </c>
      <c r="M9" s="201">
        <v>1</v>
      </c>
    </row>
    <row r="10" spans="1:13">
      <c r="A10" s="22">
        <v>6</v>
      </c>
      <c r="B10" s="28" t="s">
        <v>412</v>
      </c>
      <c r="C10" s="19">
        <v>45850</v>
      </c>
      <c r="D10" s="126">
        <v>45882</v>
      </c>
      <c r="E10" s="21" t="s">
        <v>36</v>
      </c>
      <c r="F10" s="22">
        <v>13</v>
      </c>
      <c r="G10" s="22">
        <v>13</v>
      </c>
      <c r="H10" s="22">
        <v>1</v>
      </c>
      <c r="I10" s="22">
        <v>0</v>
      </c>
      <c r="J10" s="22">
        <v>0</v>
      </c>
      <c r="K10" s="22">
        <v>0</v>
      </c>
      <c r="L10" s="22">
        <v>0</v>
      </c>
      <c r="M10" s="22">
        <v>1</v>
      </c>
    </row>
    <row r="11" spans="1:13">
      <c r="A11" s="204">
        <v>7</v>
      </c>
      <c r="B11" s="86" t="s">
        <v>413</v>
      </c>
      <c r="C11" s="88">
        <v>45849</v>
      </c>
      <c r="D11" s="205">
        <v>45896</v>
      </c>
      <c r="E11" s="206" t="s">
        <v>250</v>
      </c>
      <c r="F11" s="204">
        <v>27</v>
      </c>
      <c r="G11" s="204">
        <v>26</v>
      </c>
      <c r="H11" s="204">
        <v>1</v>
      </c>
      <c r="I11" s="204">
        <v>0</v>
      </c>
      <c r="J11" s="204">
        <v>0</v>
      </c>
      <c r="K11" s="204">
        <v>0</v>
      </c>
      <c r="L11" s="204">
        <v>1</v>
      </c>
      <c r="M11" s="204">
        <v>0</v>
      </c>
    </row>
    <row r="12" spans="1:13">
      <c r="A12" s="27">
        <v>8</v>
      </c>
      <c r="B12" s="24" t="s">
        <v>415</v>
      </c>
      <c r="C12" s="207">
        <v>45856</v>
      </c>
      <c r="D12" s="27"/>
      <c r="E12" s="27"/>
      <c r="F12" s="27">
        <v>31</v>
      </c>
      <c r="G12" s="27">
        <v>31</v>
      </c>
      <c r="H12" s="27"/>
      <c r="I12" s="27"/>
      <c r="J12" s="27"/>
      <c r="K12" s="27"/>
      <c r="L12" s="27">
        <v>1</v>
      </c>
      <c r="M12" s="27">
        <v>0</v>
      </c>
    </row>
    <row r="13" spans="1:13">
      <c r="A13" s="27">
        <v>9</v>
      </c>
      <c r="B13" s="24" t="s">
        <v>438</v>
      </c>
      <c r="C13" s="25">
        <v>45856</v>
      </c>
      <c r="D13" s="27"/>
      <c r="E13" s="27"/>
      <c r="F13" s="27">
        <v>31</v>
      </c>
      <c r="G13" s="27">
        <v>31</v>
      </c>
      <c r="H13" s="27"/>
      <c r="I13" s="27"/>
      <c r="J13" s="27"/>
      <c r="K13" s="27"/>
      <c r="L13" s="27">
        <v>0</v>
      </c>
      <c r="M13" s="27">
        <v>1</v>
      </c>
    </row>
    <row r="14" spans="1:13">
      <c r="A14" s="208">
        <v>10</v>
      </c>
      <c r="B14" s="67" t="s">
        <v>421</v>
      </c>
      <c r="C14" s="79">
        <v>45861</v>
      </c>
      <c r="D14" s="209">
        <v>45889</v>
      </c>
      <c r="E14" s="206" t="s">
        <v>250</v>
      </c>
      <c r="F14" s="208">
        <v>20</v>
      </c>
      <c r="G14" s="208">
        <v>19</v>
      </c>
      <c r="H14" s="208">
        <v>1</v>
      </c>
      <c r="I14" s="208">
        <v>0</v>
      </c>
      <c r="J14" s="208">
        <v>0</v>
      </c>
      <c r="K14" s="208">
        <v>0</v>
      </c>
      <c r="L14" s="208">
        <v>0</v>
      </c>
      <c r="M14" s="208">
        <v>1</v>
      </c>
    </row>
    <row r="15" spans="1:13">
      <c r="A15" s="66">
        <v>11</v>
      </c>
      <c r="B15" s="86" t="s">
        <v>422</v>
      </c>
      <c r="C15" s="79">
        <v>45859</v>
      </c>
      <c r="D15" s="210">
        <v>45873</v>
      </c>
      <c r="E15" s="52" t="s">
        <v>250</v>
      </c>
      <c r="F15" s="208">
        <v>4</v>
      </c>
      <c r="G15" s="208">
        <v>3</v>
      </c>
      <c r="H15" s="208">
        <v>1</v>
      </c>
      <c r="I15" s="208">
        <v>0</v>
      </c>
      <c r="J15" s="208">
        <v>0</v>
      </c>
      <c r="K15" s="208">
        <v>0</v>
      </c>
      <c r="L15" s="208">
        <v>1</v>
      </c>
      <c r="M15" s="208">
        <v>0</v>
      </c>
    </row>
    <row r="16" spans="1:13">
      <c r="A16" s="211">
        <v>12</v>
      </c>
      <c r="B16" s="86" t="s">
        <v>423</v>
      </c>
      <c r="C16" s="88">
        <v>45862</v>
      </c>
      <c r="D16" s="212">
        <v>45870</v>
      </c>
      <c r="E16" s="52" t="s">
        <v>250</v>
      </c>
      <c r="F16" s="204">
        <v>1</v>
      </c>
      <c r="G16" s="204">
        <v>0</v>
      </c>
      <c r="H16" s="204">
        <v>1</v>
      </c>
      <c r="I16" s="204">
        <v>0</v>
      </c>
      <c r="J16" s="204">
        <v>0</v>
      </c>
      <c r="K16" s="204">
        <v>0</v>
      </c>
      <c r="L16" s="204">
        <v>1</v>
      </c>
      <c r="M16" s="204">
        <v>0</v>
      </c>
    </row>
    <row r="17" spans="1:13">
      <c r="A17" s="213">
        <v>13</v>
      </c>
      <c r="B17" s="214" t="s">
        <v>418</v>
      </c>
      <c r="C17" s="215">
        <v>45866</v>
      </c>
      <c r="D17" s="216">
        <v>45874</v>
      </c>
      <c r="E17" s="217" t="s">
        <v>431</v>
      </c>
      <c r="F17" s="218">
        <v>5</v>
      </c>
      <c r="G17" s="218">
        <v>4</v>
      </c>
      <c r="H17" s="218">
        <v>1</v>
      </c>
      <c r="I17" s="218">
        <v>0</v>
      </c>
      <c r="J17" s="218">
        <v>0</v>
      </c>
      <c r="K17" s="218">
        <v>0</v>
      </c>
      <c r="L17" s="218">
        <v>1</v>
      </c>
      <c r="M17" s="218">
        <v>0</v>
      </c>
    </row>
    <row r="18" spans="1:13">
      <c r="A18" s="211">
        <v>14</v>
      </c>
      <c r="B18" s="219" t="s">
        <v>439</v>
      </c>
      <c r="C18" s="88">
        <v>45869</v>
      </c>
      <c r="D18" s="212">
        <v>45877</v>
      </c>
      <c r="E18" s="52" t="s">
        <v>250</v>
      </c>
      <c r="F18" s="204">
        <v>8</v>
      </c>
      <c r="G18" s="204">
        <v>7</v>
      </c>
      <c r="H18" s="204">
        <v>1</v>
      </c>
      <c r="I18" s="204">
        <v>0</v>
      </c>
      <c r="J18" s="204">
        <v>0</v>
      </c>
      <c r="K18" s="204">
        <v>0</v>
      </c>
      <c r="L18" s="204">
        <v>1</v>
      </c>
      <c r="M18" s="204">
        <v>0</v>
      </c>
    </row>
    <row r="19" spans="1:13">
      <c r="A19" s="56">
        <v>15</v>
      </c>
      <c r="B19" s="164" t="s">
        <v>425</v>
      </c>
      <c r="C19" s="187">
        <v>45866</v>
      </c>
      <c r="D19" s="220">
        <v>45882</v>
      </c>
      <c r="E19" s="60" t="s">
        <v>255</v>
      </c>
      <c r="F19" s="221">
        <v>13</v>
      </c>
      <c r="G19" s="221">
        <v>12</v>
      </c>
      <c r="H19" s="221">
        <v>1</v>
      </c>
      <c r="I19" s="221">
        <v>0</v>
      </c>
      <c r="J19" s="221">
        <v>0</v>
      </c>
      <c r="K19" s="221">
        <v>0</v>
      </c>
      <c r="L19" s="61">
        <v>1</v>
      </c>
      <c r="M19" s="61">
        <v>0</v>
      </c>
    </row>
    <row r="20" spans="1:13">
      <c r="A20" s="66">
        <v>16</v>
      </c>
      <c r="B20" s="67" t="s">
        <v>426</v>
      </c>
      <c r="C20" s="79">
        <v>45864</v>
      </c>
      <c r="D20" s="210">
        <v>45888</v>
      </c>
      <c r="E20" s="206" t="s">
        <v>250</v>
      </c>
      <c r="F20" s="208">
        <v>19</v>
      </c>
      <c r="G20" s="208">
        <v>18</v>
      </c>
      <c r="H20" s="208">
        <v>1</v>
      </c>
      <c r="I20" s="208">
        <v>0</v>
      </c>
      <c r="J20" s="208">
        <v>0</v>
      </c>
      <c r="K20" s="208">
        <v>0</v>
      </c>
      <c r="L20" s="53">
        <v>0</v>
      </c>
      <c r="M20" s="53">
        <v>1</v>
      </c>
    </row>
    <row r="21" spans="1:13">
      <c r="A21" s="66">
        <v>17</v>
      </c>
      <c r="B21" s="67" t="s">
        <v>427</v>
      </c>
      <c r="C21" s="79">
        <v>45865</v>
      </c>
      <c r="D21" s="210">
        <v>45875</v>
      </c>
      <c r="E21" s="52" t="s">
        <v>250</v>
      </c>
      <c r="F21" s="208">
        <v>6</v>
      </c>
      <c r="G21" s="208">
        <v>5</v>
      </c>
      <c r="H21" s="208">
        <v>1</v>
      </c>
      <c r="I21" s="208">
        <v>0</v>
      </c>
      <c r="J21" s="208">
        <v>0</v>
      </c>
      <c r="K21" s="208">
        <v>0</v>
      </c>
      <c r="L21" s="53">
        <v>1</v>
      </c>
      <c r="M21" s="53">
        <v>0</v>
      </c>
    </row>
    <row r="22" spans="1:13">
      <c r="A22" s="54">
        <v>18</v>
      </c>
      <c r="B22" s="82" t="s">
        <v>428</v>
      </c>
      <c r="C22" s="19">
        <v>45868</v>
      </c>
      <c r="D22" s="222">
        <v>45885</v>
      </c>
      <c r="E22" s="21" t="s">
        <v>36</v>
      </c>
      <c r="F22" s="54">
        <v>16</v>
      </c>
      <c r="G22" s="54">
        <v>16</v>
      </c>
      <c r="H22" s="54">
        <v>1</v>
      </c>
      <c r="I22" s="54">
        <v>0</v>
      </c>
      <c r="J22" s="54">
        <v>0</v>
      </c>
      <c r="K22" s="54">
        <v>0</v>
      </c>
      <c r="L22" s="17">
        <v>1</v>
      </c>
      <c r="M22" s="17">
        <v>0</v>
      </c>
    </row>
    <row r="23" spans="1:13">
      <c r="A23" s="17">
        <v>19</v>
      </c>
      <c r="B23" s="223" t="s">
        <v>440</v>
      </c>
      <c r="C23" s="19">
        <v>45871</v>
      </c>
      <c r="D23" s="20">
        <v>45879</v>
      </c>
      <c r="E23" s="21" t="s">
        <v>36</v>
      </c>
      <c r="F23" s="22">
        <v>9</v>
      </c>
      <c r="G23" s="22">
        <v>9</v>
      </c>
      <c r="H23" s="22">
        <v>1</v>
      </c>
      <c r="I23" s="22">
        <v>0</v>
      </c>
      <c r="J23" s="22">
        <v>0</v>
      </c>
      <c r="K23" s="22">
        <v>0</v>
      </c>
      <c r="L23" s="22">
        <v>0</v>
      </c>
      <c r="M23" s="22">
        <v>1</v>
      </c>
    </row>
    <row r="24" spans="1:13">
      <c r="A24" s="23">
        <v>20</v>
      </c>
      <c r="B24" s="24" t="s">
        <v>441</v>
      </c>
      <c r="C24" s="25">
        <v>45870</v>
      </c>
      <c r="D24" s="26"/>
      <c r="E24" s="26"/>
      <c r="F24" s="27">
        <v>31</v>
      </c>
      <c r="G24" s="27">
        <v>31</v>
      </c>
      <c r="H24" s="27"/>
      <c r="I24" s="27"/>
      <c r="J24" s="27"/>
      <c r="K24" s="27"/>
      <c r="L24" s="27">
        <v>0</v>
      </c>
      <c r="M24" s="27">
        <v>1</v>
      </c>
    </row>
    <row r="25" spans="1:13">
      <c r="A25" s="23">
        <v>21</v>
      </c>
      <c r="B25" s="24" t="s">
        <v>442</v>
      </c>
      <c r="C25" s="25">
        <v>45875</v>
      </c>
      <c r="D25" s="26"/>
      <c r="E25" s="26"/>
      <c r="F25" s="27">
        <v>26</v>
      </c>
      <c r="G25" s="27">
        <v>26</v>
      </c>
      <c r="H25" s="27"/>
      <c r="I25" s="27"/>
      <c r="J25" s="27"/>
      <c r="K25" s="27"/>
      <c r="L25" s="27">
        <v>1</v>
      </c>
      <c r="M25" s="27">
        <v>0</v>
      </c>
    </row>
    <row r="26" spans="1:13">
      <c r="A26" s="17">
        <v>22</v>
      </c>
      <c r="B26" s="224" t="s">
        <v>443</v>
      </c>
      <c r="C26" s="19">
        <v>45874</v>
      </c>
      <c r="D26" s="126">
        <v>45879</v>
      </c>
      <c r="E26" s="21" t="s">
        <v>36</v>
      </c>
      <c r="F26" s="22">
        <v>6</v>
      </c>
      <c r="G26" s="22">
        <v>6</v>
      </c>
      <c r="H26" s="22">
        <v>1</v>
      </c>
      <c r="I26" s="22">
        <v>0</v>
      </c>
      <c r="J26" s="22">
        <v>0</v>
      </c>
      <c r="K26" s="22">
        <v>0</v>
      </c>
      <c r="L26" s="22">
        <v>1</v>
      </c>
      <c r="M26" s="22">
        <v>0</v>
      </c>
    </row>
    <row r="27" spans="1:13">
      <c r="A27" s="17">
        <v>23</v>
      </c>
      <c r="B27" s="18" t="s">
        <v>444</v>
      </c>
      <c r="C27" s="19">
        <v>45873</v>
      </c>
      <c r="D27" s="20">
        <v>45886</v>
      </c>
      <c r="E27" s="21" t="s">
        <v>36</v>
      </c>
      <c r="F27" s="22">
        <v>14</v>
      </c>
      <c r="G27" s="22">
        <v>14</v>
      </c>
      <c r="H27" s="22">
        <v>1</v>
      </c>
      <c r="I27" s="22">
        <v>0</v>
      </c>
      <c r="J27" s="22">
        <v>0</v>
      </c>
      <c r="K27" s="22">
        <v>0</v>
      </c>
      <c r="L27" s="22">
        <v>0</v>
      </c>
      <c r="M27" s="22">
        <v>1</v>
      </c>
    </row>
    <row r="28" spans="1:13">
      <c r="A28" s="23">
        <v>24</v>
      </c>
      <c r="B28" s="24" t="s">
        <v>445</v>
      </c>
      <c r="C28" s="25">
        <v>45875</v>
      </c>
      <c r="D28" s="26"/>
      <c r="E28" s="26"/>
      <c r="F28" s="27">
        <v>26</v>
      </c>
      <c r="G28" s="27">
        <v>26</v>
      </c>
      <c r="H28" s="27"/>
      <c r="I28" s="27"/>
      <c r="J28" s="27"/>
      <c r="K28" s="27"/>
      <c r="L28" s="27">
        <v>1</v>
      </c>
      <c r="M28" s="27">
        <v>0</v>
      </c>
    </row>
    <row r="29" spans="1:13">
      <c r="A29" s="17">
        <v>25</v>
      </c>
      <c r="B29" s="28" t="s">
        <v>446</v>
      </c>
      <c r="C29" s="19">
        <v>45879</v>
      </c>
      <c r="D29" s="20">
        <v>45886</v>
      </c>
      <c r="E29" s="21" t="s">
        <v>36</v>
      </c>
      <c r="F29" s="22">
        <v>8</v>
      </c>
      <c r="G29" s="22">
        <v>8</v>
      </c>
      <c r="H29" s="22">
        <v>1</v>
      </c>
      <c r="I29" s="22">
        <v>0</v>
      </c>
      <c r="J29" s="22">
        <v>0</v>
      </c>
      <c r="K29" s="22">
        <v>0</v>
      </c>
      <c r="L29" s="22">
        <v>1</v>
      </c>
      <c r="M29" s="22">
        <v>0</v>
      </c>
    </row>
    <row r="30" spans="1:13">
      <c r="A30" s="23">
        <v>26</v>
      </c>
      <c r="B30" s="24" t="s">
        <v>447</v>
      </c>
      <c r="C30" s="25">
        <v>45877</v>
      </c>
      <c r="D30" s="26"/>
      <c r="E30" s="26"/>
      <c r="F30" s="27">
        <v>24</v>
      </c>
      <c r="G30" s="27">
        <v>24</v>
      </c>
      <c r="H30" s="27"/>
      <c r="I30" s="27"/>
      <c r="J30" s="27"/>
      <c r="K30" s="27"/>
      <c r="L30" s="27">
        <v>0</v>
      </c>
      <c r="M30" s="27">
        <v>1</v>
      </c>
    </row>
    <row r="31" spans="1:13">
      <c r="A31" s="66">
        <v>27</v>
      </c>
      <c r="B31" s="86" t="s">
        <v>448</v>
      </c>
      <c r="C31" s="79">
        <v>45878</v>
      </c>
      <c r="D31" s="176">
        <v>45897</v>
      </c>
      <c r="E31" s="52" t="s">
        <v>250</v>
      </c>
      <c r="F31" s="192">
        <v>20</v>
      </c>
      <c r="G31" s="192">
        <v>19</v>
      </c>
      <c r="H31" s="192">
        <v>1</v>
      </c>
      <c r="I31" s="192">
        <v>0</v>
      </c>
      <c r="J31" s="192">
        <v>0</v>
      </c>
      <c r="K31" s="192">
        <v>0</v>
      </c>
      <c r="L31" s="192">
        <v>1</v>
      </c>
      <c r="M31" s="192">
        <v>0</v>
      </c>
    </row>
    <row r="32" spans="1:13">
      <c r="A32" s="211">
        <v>28</v>
      </c>
      <c r="B32" s="86" t="s">
        <v>449</v>
      </c>
      <c r="C32" s="88">
        <v>45884</v>
      </c>
      <c r="D32" s="212">
        <v>45897</v>
      </c>
      <c r="E32" s="52" t="s">
        <v>250</v>
      </c>
      <c r="F32" s="204">
        <v>14</v>
      </c>
      <c r="G32" s="204">
        <v>13</v>
      </c>
      <c r="H32" s="204">
        <v>1</v>
      </c>
      <c r="I32" s="204">
        <v>0</v>
      </c>
      <c r="J32" s="204">
        <v>0</v>
      </c>
      <c r="K32" s="204">
        <v>0</v>
      </c>
      <c r="L32" s="204">
        <v>1</v>
      </c>
      <c r="M32" s="204">
        <v>0</v>
      </c>
    </row>
    <row r="33" spans="1:13">
      <c r="A33" s="62">
        <v>29</v>
      </c>
      <c r="B33" s="43" t="s">
        <v>450</v>
      </c>
      <c r="C33" s="161">
        <v>45885</v>
      </c>
      <c r="D33" s="162">
        <v>45894</v>
      </c>
      <c r="E33" s="40" t="s">
        <v>17</v>
      </c>
      <c r="F33" s="72">
        <v>10</v>
      </c>
      <c r="G33" s="72">
        <v>10</v>
      </c>
      <c r="H33" s="72">
        <v>1</v>
      </c>
      <c r="I33" s="72">
        <v>1</v>
      </c>
      <c r="J33" s="72">
        <v>1</v>
      </c>
      <c r="K33" s="72">
        <v>0</v>
      </c>
      <c r="L33" s="72">
        <v>1</v>
      </c>
      <c r="M33" s="72">
        <v>0</v>
      </c>
    </row>
    <row r="34" spans="1:13">
      <c r="A34" s="225">
        <v>30</v>
      </c>
      <c r="B34" s="226" t="s">
        <v>451</v>
      </c>
      <c r="C34" s="227">
        <v>45884</v>
      </c>
      <c r="D34" s="228">
        <v>45895</v>
      </c>
      <c r="E34" s="217" t="s">
        <v>431</v>
      </c>
      <c r="F34" s="229">
        <v>12</v>
      </c>
      <c r="G34" s="229">
        <v>11</v>
      </c>
      <c r="H34" s="229">
        <v>1</v>
      </c>
      <c r="I34" s="229">
        <v>0</v>
      </c>
      <c r="J34" s="229">
        <v>0</v>
      </c>
      <c r="K34" s="229">
        <v>0</v>
      </c>
      <c r="L34" s="229">
        <v>0</v>
      </c>
      <c r="M34" s="229">
        <v>1</v>
      </c>
    </row>
    <row r="35" spans="1:13">
      <c r="A35" s="23">
        <v>31</v>
      </c>
      <c r="B35" s="24" t="s">
        <v>452</v>
      </c>
      <c r="C35" s="25">
        <v>45885</v>
      </c>
      <c r="D35" s="26"/>
      <c r="E35" s="26"/>
      <c r="F35" s="27">
        <v>16</v>
      </c>
      <c r="G35" s="27">
        <v>16</v>
      </c>
      <c r="H35" s="27"/>
      <c r="I35" s="27"/>
      <c r="J35" s="27"/>
      <c r="K35" s="27"/>
      <c r="L35" s="27">
        <v>0</v>
      </c>
      <c r="M35" s="27">
        <v>1</v>
      </c>
    </row>
    <row r="36" spans="1:13">
      <c r="A36" s="66">
        <v>32</v>
      </c>
      <c r="B36" s="67" t="s">
        <v>453</v>
      </c>
      <c r="C36" s="50">
        <v>45884</v>
      </c>
      <c r="D36" s="68">
        <v>45893</v>
      </c>
      <c r="E36" s="206" t="s">
        <v>250</v>
      </c>
      <c r="F36" s="53">
        <v>10</v>
      </c>
      <c r="G36" s="53">
        <v>9</v>
      </c>
      <c r="H36" s="53">
        <v>1</v>
      </c>
      <c r="I36" s="53">
        <v>0</v>
      </c>
      <c r="J36" s="53">
        <v>0</v>
      </c>
      <c r="K36" s="53">
        <v>0</v>
      </c>
      <c r="L36" s="53">
        <v>0</v>
      </c>
      <c r="M36" s="53">
        <v>1</v>
      </c>
    </row>
    <row r="37" spans="1:13">
      <c r="A37" s="66">
        <v>33</v>
      </c>
      <c r="B37" s="67" t="s">
        <v>454</v>
      </c>
      <c r="C37" s="50">
        <v>45887</v>
      </c>
      <c r="D37" s="68">
        <v>45892</v>
      </c>
      <c r="E37" s="206" t="s">
        <v>250</v>
      </c>
      <c r="F37" s="53">
        <v>6</v>
      </c>
      <c r="G37" s="53">
        <v>5</v>
      </c>
      <c r="H37" s="53">
        <v>1</v>
      </c>
      <c r="I37" s="53">
        <v>0</v>
      </c>
      <c r="J37" s="53">
        <v>0</v>
      </c>
      <c r="K37" s="53">
        <v>0</v>
      </c>
      <c r="L37" s="53">
        <v>0</v>
      </c>
      <c r="M37" s="53">
        <v>1</v>
      </c>
    </row>
    <row r="38" spans="1:13">
      <c r="A38" s="23">
        <v>34</v>
      </c>
      <c r="B38" s="24" t="s">
        <v>455</v>
      </c>
      <c r="C38" s="32">
        <v>45893</v>
      </c>
      <c r="D38" s="33"/>
      <c r="E38" s="33"/>
      <c r="F38" s="34">
        <v>8</v>
      </c>
      <c r="G38" s="34">
        <v>8</v>
      </c>
      <c r="H38" s="34"/>
      <c r="I38" s="34"/>
      <c r="J38" s="34"/>
      <c r="K38" s="34"/>
      <c r="L38" s="34">
        <v>1</v>
      </c>
      <c r="M38" s="34">
        <v>0</v>
      </c>
    </row>
    <row r="39" spans="1:13">
      <c r="A39" s="23">
        <v>35</v>
      </c>
      <c r="B39" s="24" t="s">
        <v>456</v>
      </c>
      <c r="C39" s="32">
        <v>45887</v>
      </c>
      <c r="D39" s="33"/>
      <c r="E39" s="33"/>
      <c r="F39" s="34">
        <v>14</v>
      </c>
      <c r="G39" s="34">
        <v>14</v>
      </c>
      <c r="H39" s="34"/>
      <c r="I39" s="34"/>
      <c r="J39" s="34"/>
      <c r="K39" s="34"/>
      <c r="L39" s="34">
        <v>0</v>
      </c>
      <c r="M39" s="34">
        <v>1</v>
      </c>
    </row>
    <row r="40" spans="1:13">
      <c r="A40" s="211">
        <v>36</v>
      </c>
      <c r="B40" s="86" t="s">
        <v>457</v>
      </c>
      <c r="C40" s="175">
        <v>45892</v>
      </c>
      <c r="D40" s="212">
        <v>45897</v>
      </c>
      <c r="E40" s="52" t="s">
        <v>250</v>
      </c>
      <c r="F40" s="90">
        <v>6</v>
      </c>
      <c r="G40" s="90">
        <v>5</v>
      </c>
      <c r="H40" s="90">
        <v>1</v>
      </c>
      <c r="I40" s="90">
        <v>0</v>
      </c>
      <c r="J40" s="90">
        <v>0</v>
      </c>
      <c r="K40" s="90">
        <v>0</v>
      </c>
      <c r="L40" s="90">
        <v>0</v>
      </c>
      <c r="M40" s="90">
        <v>1</v>
      </c>
    </row>
    <row r="41" spans="1:13">
      <c r="A41" s="211">
        <v>37</v>
      </c>
      <c r="B41" s="86" t="s">
        <v>458</v>
      </c>
      <c r="C41" s="175">
        <v>45892</v>
      </c>
      <c r="D41" s="230">
        <v>45900</v>
      </c>
      <c r="E41" s="52" t="s">
        <v>250</v>
      </c>
      <c r="F41" s="90">
        <v>9</v>
      </c>
      <c r="G41" s="90">
        <v>8</v>
      </c>
      <c r="H41" s="90">
        <v>1</v>
      </c>
      <c r="I41" s="90">
        <v>0</v>
      </c>
      <c r="J41" s="90">
        <v>0</v>
      </c>
      <c r="K41" s="90">
        <v>0</v>
      </c>
      <c r="L41" s="90">
        <v>0</v>
      </c>
      <c r="M41" s="90">
        <v>1</v>
      </c>
    </row>
    <row r="42" spans="1:13">
      <c r="A42" s="66">
        <v>38</v>
      </c>
      <c r="B42" s="86" t="s">
        <v>459</v>
      </c>
      <c r="C42" s="50">
        <v>45891</v>
      </c>
      <c r="D42" s="68">
        <v>45898</v>
      </c>
      <c r="E42" s="52" t="s">
        <v>250</v>
      </c>
      <c r="F42" s="53">
        <v>8</v>
      </c>
      <c r="G42" s="53">
        <v>7</v>
      </c>
      <c r="H42" s="53">
        <v>1</v>
      </c>
      <c r="I42" s="53">
        <v>0</v>
      </c>
      <c r="J42" s="53">
        <v>0</v>
      </c>
      <c r="K42" s="53">
        <v>0</v>
      </c>
      <c r="L42" s="53">
        <v>0</v>
      </c>
      <c r="M42" s="53">
        <v>1</v>
      </c>
    </row>
    <row r="43" spans="1:13">
      <c r="A43" s="23">
        <v>39</v>
      </c>
      <c r="B43" s="24" t="s">
        <v>460</v>
      </c>
      <c r="C43" s="32">
        <v>45887</v>
      </c>
      <c r="D43" s="33"/>
      <c r="E43" s="33"/>
      <c r="F43" s="34">
        <v>14</v>
      </c>
      <c r="G43" s="34">
        <v>14</v>
      </c>
      <c r="H43" s="34"/>
      <c r="I43" s="34"/>
      <c r="J43" s="34"/>
      <c r="K43" s="34"/>
      <c r="L43" s="34">
        <v>1</v>
      </c>
      <c r="M43" s="34">
        <v>0</v>
      </c>
    </row>
    <row r="44" spans="1:13">
      <c r="A44" s="23">
        <v>40</v>
      </c>
      <c r="B44" s="24" t="s">
        <v>461</v>
      </c>
      <c r="C44" s="32">
        <v>45894</v>
      </c>
      <c r="D44" s="33"/>
      <c r="E44" s="33"/>
      <c r="F44" s="34">
        <v>7</v>
      </c>
      <c r="G44" s="34">
        <v>7</v>
      </c>
      <c r="H44" s="34"/>
      <c r="I44" s="34"/>
      <c r="J44" s="34"/>
      <c r="K44" s="34"/>
      <c r="L44" s="34">
        <v>1</v>
      </c>
      <c r="M44" s="34">
        <v>0</v>
      </c>
    </row>
    <row r="45" spans="1:13">
      <c r="A45" s="23">
        <v>41</v>
      </c>
      <c r="B45" s="24" t="s">
        <v>462</v>
      </c>
      <c r="C45" s="32">
        <v>45896</v>
      </c>
      <c r="D45" s="33"/>
      <c r="E45" s="33"/>
      <c r="F45" s="34">
        <v>5</v>
      </c>
      <c r="G45" s="34">
        <v>5</v>
      </c>
      <c r="H45" s="34"/>
      <c r="I45" s="34"/>
      <c r="J45" s="34"/>
      <c r="K45" s="34"/>
      <c r="L45" s="34">
        <v>0</v>
      </c>
      <c r="M45" s="34">
        <v>1</v>
      </c>
    </row>
    <row r="46" spans="1:13">
      <c r="A46" s="23">
        <v>42</v>
      </c>
      <c r="B46" s="24" t="s">
        <v>463</v>
      </c>
      <c r="C46" s="32">
        <v>45896</v>
      </c>
      <c r="D46" s="33"/>
      <c r="E46" s="33"/>
      <c r="F46" s="34">
        <v>5</v>
      </c>
      <c r="G46" s="34">
        <v>5</v>
      </c>
      <c r="H46" s="34"/>
      <c r="I46" s="34"/>
      <c r="J46" s="34"/>
      <c r="K46" s="34"/>
      <c r="L46" s="34">
        <v>1</v>
      </c>
      <c r="M46" s="34">
        <v>0</v>
      </c>
    </row>
    <row r="47" spans="1:13">
      <c r="A47" s="23">
        <v>43</v>
      </c>
      <c r="B47" s="24" t="s">
        <v>464</v>
      </c>
      <c r="C47" s="32">
        <v>45897</v>
      </c>
      <c r="D47" s="33"/>
      <c r="E47" s="33"/>
      <c r="F47" s="34">
        <v>4</v>
      </c>
      <c r="G47" s="34">
        <v>4</v>
      </c>
      <c r="H47" s="34"/>
      <c r="I47" s="34"/>
      <c r="J47" s="34"/>
      <c r="K47" s="34"/>
      <c r="L47" s="34">
        <v>0</v>
      </c>
      <c r="M47" s="34">
        <v>1</v>
      </c>
    </row>
    <row r="48" spans="1:13">
      <c r="A48" s="80">
        <v>44</v>
      </c>
      <c r="B48" s="24" t="s">
        <v>465</v>
      </c>
      <c r="C48" s="32">
        <v>45897</v>
      </c>
      <c r="D48" s="33"/>
      <c r="E48" s="33"/>
      <c r="F48" s="34">
        <v>4</v>
      </c>
      <c r="G48" s="34">
        <v>4</v>
      </c>
      <c r="H48" s="34"/>
      <c r="I48" s="34"/>
      <c r="J48" s="34"/>
      <c r="K48" s="34"/>
      <c r="L48" s="34">
        <v>0</v>
      </c>
      <c r="M48" s="34">
        <v>1</v>
      </c>
    </row>
    <row r="49" spans="1:13">
      <c r="A49" s="80">
        <v>45</v>
      </c>
      <c r="B49" s="24" t="s">
        <v>466</v>
      </c>
      <c r="C49" s="32">
        <v>45897</v>
      </c>
      <c r="D49" s="33"/>
      <c r="E49" s="33"/>
      <c r="F49" s="34">
        <v>4</v>
      </c>
      <c r="G49" s="34">
        <v>4</v>
      </c>
      <c r="H49" s="34"/>
      <c r="I49" s="34"/>
      <c r="J49" s="34"/>
      <c r="K49" s="34"/>
      <c r="L49" s="34">
        <v>1</v>
      </c>
      <c r="M49" s="34">
        <v>0</v>
      </c>
    </row>
    <row r="50" spans="1:13">
      <c r="A50" s="37">
        <v>46</v>
      </c>
      <c r="B50" s="37" t="s">
        <v>467</v>
      </c>
      <c r="C50" s="38">
        <v>45899</v>
      </c>
      <c r="D50" s="166">
        <v>45899</v>
      </c>
      <c r="E50" s="40" t="s">
        <v>17</v>
      </c>
      <c r="F50" s="41">
        <v>1</v>
      </c>
      <c r="G50" s="41">
        <v>1</v>
      </c>
      <c r="H50" s="41">
        <v>1</v>
      </c>
      <c r="I50" s="41">
        <v>1</v>
      </c>
      <c r="J50" s="41">
        <v>0</v>
      </c>
      <c r="K50" s="41">
        <v>1</v>
      </c>
      <c r="L50" s="41">
        <v>0</v>
      </c>
      <c r="M50" s="41">
        <v>1</v>
      </c>
    </row>
    <row r="51" spans="1:13">
      <c r="A51" s="80">
        <v>47</v>
      </c>
      <c r="B51" s="93" t="s">
        <v>468</v>
      </c>
      <c r="C51" s="32">
        <v>45898</v>
      </c>
      <c r="D51" s="33"/>
      <c r="E51" s="33"/>
      <c r="F51" s="34">
        <v>3</v>
      </c>
      <c r="G51" s="34">
        <v>3</v>
      </c>
      <c r="H51" s="34"/>
      <c r="I51" s="34"/>
      <c r="J51" s="34"/>
      <c r="K51" s="34"/>
      <c r="L51" s="34">
        <v>1</v>
      </c>
      <c r="M51" s="34">
        <v>0</v>
      </c>
    </row>
    <row r="52" spans="1:13">
      <c r="A52" s="80">
        <v>48</v>
      </c>
      <c r="B52" s="80" t="s">
        <v>469</v>
      </c>
      <c r="C52" s="32">
        <v>45900</v>
      </c>
      <c r="D52" s="33"/>
      <c r="E52" s="33"/>
      <c r="F52" s="34">
        <v>1</v>
      </c>
      <c r="G52" s="34">
        <v>1</v>
      </c>
      <c r="H52" s="34"/>
      <c r="I52" s="34"/>
      <c r="J52" s="34"/>
      <c r="K52" s="34"/>
      <c r="L52" s="34">
        <v>1</v>
      </c>
      <c r="M52" s="34">
        <v>0</v>
      </c>
    </row>
    <row r="53" spans="1:13">
      <c r="A53" s="103"/>
      <c r="B53" s="104"/>
      <c r="C53" s="104"/>
      <c r="D53" s="104"/>
      <c r="E53" s="105"/>
      <c r="F53" s="179">
        <v>553</v>
      </c>
      <c r="G53" s="153">
        <v>535</v>
      </c>
      <c r="H53" s="107">
        <v>30</v>
      </c>
      <c r="I53" s="153">
        <v>3</v>
      </c>
      <c r="J53" s="153">
        <v>2</v>
      </c>
      <c r="K53" s="153">
        <v>1</v>
      </c>
      <c r="L53" s="153">
        <v>25</v>
      </c>
      <c r="M53" s="153">
        <v>23</v>
      </c>
    </row>
    <row r="54" spans="1:13">
      <c r="A54" s="108"/>
      <c r="B54" s="109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37"/>
    </row>
    <row r="55" spans="1:13" ht="38.25">
      <c r="A55" s="111"/>
      <c r="B55" s="109"/>
      <c r="C55" s="112" t="s">
        <v>91</v>
      </c>
      <c r="D55" s="113" t="s">
        <v>92</v>
      </c>
      <c r="E55" s="112" t="s">
        <v>93</v>
      </c>
      <c r="F55" s="113" t="s">
        <v>94</v>
      </c>
      <c r="G55" s="113" t="s">
        <v>95</v>
      </c>
      <c r="H55" s="113" t="s">
        <v>96</v>
      </c>
      <c r="I55" s="113" t="s">
        <v>97</v>
      </c>
      <c r="J55" s="113" t="s">
        <v>98</v>
      </c>
      <c r="K55" s="112" t="s">
        <v>99</v>
      </c>
      <c r="L55" s="138" t="s">
        <v>100</v>
      </c>
      <c r="M55" s="112" t="s">
        <v>101</v>
      </c>
    </row>
    <row r="56" spans="1:13">
      <c r="A56" s="111"/>
      <c r="B56" s="114"/>
      <c r="C56" s="115">
        <v>18</v>
      </c>
      <c r="D56" s="115">
        <v>31</v>
      </c>
      <c r="E56" s="115">
        <v>558</v>
      </c>
      <c r="F56" s="116">
        <f>F53</f>
        <v>553</v>
      </c>
      <c r="G56" s="117">
        <f>F56/E56</f>
        <v>0.99103942652329702</v>
      </c>
      <c r="H56" s="118">
        <f>F53/H53</f>
        <v>18.433333333333302</v>
      </c>
      <c r="I56" s="139">
        <f>I53/(L53+M53)</f>
        <v>6.25E-2</v>
      </c>
      <c r="J56" s="139">
        <f>J53/I53</f>
        <v>0.66666666666666696</v>
      </c>
      <c r="K56" s="140">
        <f>K53/(I53)</f>
        <v>0.33333333333333298</v>
      </c>
      <c r="L56" s="141">
        <f>L53/(L53+M53)</f>
        <v>0.52083333333333304</v>
      </c>
      <c r="M56" s="140">
        <f>M53/(L53+M53)</f>
        <v>0.47916666666666702</v>
      </c>
    </row>
    <row r="59" spans="1:13">
      <c r="B59" t="s">
        <v>344</v>
      </c>
    </row>
    <row r="60" spans="1:13" ht="25.5">
      <c r="A60" s="7" t="s">
        <v>1</v>
      </c>
      <c r="B60" s="10" t="s">
        <v>2</v>
      </c>
      <c r="C60" s="7" t="s">
        <v>3</v>
      </c>
      <c r="D60" s="7" t="s">
        <v>4</v>
      </c>
      <c r="E60" s="8" t="s">
        <v>5</v>
      </c>
      <c r="F60" s="9" t="s">
        <v>6</v>
      </c>
      <c r="G60" s="7" t="s">
        <v>7</v>
      </c>
      <c r="H60" s="10" t="s">
        <v>8</v>
      </c>
      <c r="I60" s="10" t="s">
        <v>9</v>
      </c>
      <c r="J60" s="8" t="s">
        <v>10</v>
      </c>
      <c r="K60" s="134" t="s">
        <v>11</v>
      </c>
      <c r="L60" s="135" t="s">
        <v>12</v>
      </c>
      <c r="M60" s="134" t="s">
        <v>13</v>
      </c>
    </row>
    <row r="61" spans="1:13">
      <c r="A61" s="231">
        <v>1</v>
      </c>
      <c r="B61" s="226" t="s">
        <v>338</v>
      </c>
      <c r="C61" s="232">
        <v>45838</v>
      </c>
      <c r="D61" s="232">
        <v>45875</v>
      </c>
      <c r="E61" s="217" t="s">
        <v>431</v>
      </c>
      <c r="F61" s="233">
        <v>6</v>
      </c>
      <c r="G61" s="233">
        <v>5</v>
      </c>
      <c r="H61" s="233">
        <v>1</v>
      </c>
      <c r="I61" s="233">
        <v>0</v>
      </c>
      <c r="J61" s="233">
        <v>0</v>
      </c>
      <c r="K61" s="233">
        <v>0</v>
      </c>
      <c r="L61" s="233">
        <v>1</v>
      </c>
      <c r="M61" s="233">
        <v>0</v>
      </c>
    </row>
    <row r="62" spans="1:13">
      <c r="A62" s="125">
        <v>2</v>
      </c>
      <c r="B62" s="82" t="s">
        <v>363</v>
      </c>
      <c r="C62" s="234" t="s">
        <v>390</v>
      </c>
      <c r="D62" s="126">
        <v>45876</v>
      </c>
      <c r="E62" s="21" t="s">
        <v>36</v>
      </c>
      <c r="F62" s="22">
        <v>7</v>
      </c>
      <c r="G62" s="22">
        <v>7</v>
      </c>
      <c r="H62" s="22">
        <v>1</v>
      </c>
      <c r="I62" s="22">
        <v>0</v>
      </c>
      <c r="J62" s="22">
        <v>0</v>
      </c>
      <c r="K62" s="22">
        <v>0</v>
      </c>
      <c r="L62" s="22">
        <v>0</v>
      </c>
      <c r="M62" s="22">
        <v>1</v>
      </c>
    </row>
    <row r="63" spans="1:13">
      <c r="A63" s="101">
        <v>3</v>
      </c>
      <c r="B63" s="28" t="s">
        <v>470</v>
      </c>
      <c r="C63" s="199">
        <v>45870</v>
      </c>
      <c r="D63" s="199">
        <v>45870</v>
      </c>
      <c r="E63" s="21" t="s">
        <v>36</v>
      </c>
      <c r="F63" s="102">
        <v>1</v>
      </c>
      <c r="G63" s="102">
        <v>1</v>
      </c>
      <c r="H63" s="102">
        <v>1</v>
      </c>
      <c r="I63" s="102">
        <v>0</v>
      </c>
      <c r="J63" s="102">
        <v>0</v>
      </c>
      <c r="K63" s="102">
        <v>0</v>
      </c>
      <c r="L63" s="102">
        <v>1</v>
      </c>
      <c r="M63" s="102">
        <v>0</v>
      </c>
    </row>
    <row r="64" spans="1:13">
      <c r="A64" s="101">
        <v>4</v>
      </c>
      <c r="B64" s="28" t="s">
        <v>471</v>
      </c>
      <c r="C64" s="151">
        <v>45870</v>
      </c>
      <c r="D64" s="199">
        <v>45878</v>
      </c>
      <c r="E64" s="21" t="s">
        <v>36</v>
      </c>
      <c r="F64" s="102">
        <v>9</v>
      </c>
      <c r="G64" s="102">
        <v>9</v>
      </c>
      <c r="H64" s="102">
        <v>1</v>
      </c>
      <c r="I64" s="102">
        <v>0</v>
      </c>
      <c r="J64" s="102">
        <v>0</v>
      </c>
      <c r="K64" s="102">
        <v>0</v>
      </c>
      <c r="L64" s="102">
        <v>1</v>
      </c>
      <c r="M64" s="102">
        <v>0</v>
      </c>
    </row>
    <row r="65" spans="1:13">
      <c r="A65" s="235">
        <v>5</v>
      </c>
      <c r="B65" s="18" t="s">
        <v>472</v>
      </c>
      <c r="C65" s="55">
        <v>45873</v>
      </c>
      <c r="D65" s="236">
        <v>45887</v>
      </c>
      <c r="E65" s="129" t="s">
        <v>36</v>
      </c>
      <c r="F65" s="237">
        <v>15</v>
      </c>
      <c r="G65" s="237">
        <v>15</v>
      </c>
      <c r="H65" s="237">
        <v>1</v>
      </c>
      <c r="I65" s="237">
        <v>0</v>
      </c>
      <c r="J65" s="237">
        <v>0</v>
      </c>
      <c r="K65" s="237">
        <v>0</v>
      </c>
      <c r="L65" s="237">
        <v>1</v>
      </c>
      <c r="M65" s="237">
        <v>0</v>
      </c>
    </row>
    <row r="66" spans="1:13">
      <c r="A66" s="125">
        <v>6</v>
      </c>
      <c r="B66" s="28" t="s">
        <v>427</v>
      </c>
      <c r="C66" s="55">
        <v>45875</v>
      </c>
      <c r="D66" s="126">
        <v>45882</v>
      </c>
      <c r="E66" s="21" t="s">
        <v>36</v>
      </c>
      <c r="F66" s="22">
        <v>13</v>
      </c>
      <c r="G66" s="22">
        <v>13</v>
      </c>
      <c r="H66" s="22">
        <v>1</v>
      </c>
      <c r="I66" s="22">
        <v>0</v>
      </c>
      <c r="J66" s="22">
        <v>0</v>
      </c>
      <c r="K66" s="22">
        <v>0</v>
      </c>
      <c r="L66" s="22">
        <v>1</v>
      </c>
      <c r="M66" s="22">
        <v>0</v>
      </c>
    </row>
    <row r="67" spans="1:13">
      <c r="A67" s="125">
        <v>7</v>
      </c>
      <c r="B67" s="223" t="s">
        <v>439</v>
      </c>
      <c r="C67" s="55">
        <v>45877</v>
      </c>
      <c r="D67" s="126">
        <v>45884</v>
      </c>
      <c r="E67" s="21" t="s">
        <v>36</v>
      </c>
      <c r="F67" s="22">
        <v>8</v>
      </c>
      <c r="G67" s="22">
        <v>8</v>
      </c>
      <c r="H67" s="22">
        <v>1</v>
      </c>
      <c r="I67" s="22">
        <v>0</v>
      </c>
      <c r="J67" s="22">
        <v>0</v>
      </c>
      <c r="K67" s="22">
        <v>0</v>
      </c>
      <c r="L67" s="22">
        <v>1</v>
      </c>
      <c r="M67" s="22">
        <v>0</v>
      </c>
    </row>
    <row r="68" spans="1:13">
      <c r="A68" s="101">
        <v>8</v>
      </c>
      <c r="B68" s="28" t="s">
        <v>473</v>
      </c>
      <c r="C68" s="151">
        <v>45885</v>
      </c>
      <c r="D68" s="199">
        <v>45895</v>
      </c>
      <c r="E68" s="21" t="s">
        <v>36</v>
      </c>
      <c r="F68" s="102">
        <v>11</v>
      </c>
      <c r="G68" s="102">
        <v>11</v>
      </c>
      <c r="H68" s="102">
        <v>1</v>
      </c>
      <c r="I68" s="102">
        <v>0</v>
      </c>
      <c r="J68" s="102">
        <v>0</v>
      </c>
      <c r="K68" s="102">
        <v>0</v>
      </c>
      <c r="L68" s="102">
        <v>1</v>
      </c>
      <c r="M68" s="102">
        <v>0</v>
      </c>
    </row>
    <row r="69" spans="1:13">
      <c r="A69" s="238">
        <v>9</v>
      </c>
      <c r="B69" s="57" t="s">
        <v>426</v>
      </c>
      <c r="C69" s="186">
        <v>45888</v>
      </c>
      <c r="D69" s="239">
        <v>45893</v>
      </c>
      <c r="E69" s="221" t="s">
        <v>255</v>
      </c>
      <c r="F69" s="221">
        <v>6</v>
      </c>
      <c r="G69" s="221">
        <v>5</v>
      </c>
      <c r="H69" s="221">
        <v>1</v>
      </c>
      <c r="I69" s="221">
        <v>0</v>
      </c>
      <c r="J69" s="221">
        <v>0</v>
      </c>
      <c r="K69" s="221">
        <v>0</v>
      </c>
      <c r="L69" s="221">
        <v>0</v>
      </c>
      <c r="M69" s="221">
        <v>1</v>
      </c>
    </row>
    <row r="70" spans="1:13">
      <c r="A70" s="149">
        <v>10</v>
      </c>
      <c r="B70" s="28" t="s">
        <v>453</v>
      </c>
      <c r="C70" s="151">
        <v>45893</v>
      </c>
      <c r="D70" s="151">
        <v>45895</v>
      </c>
      <c r="E70" s="21" t="s">
        <v>36</v>
      </c>
      <c r="F70" s="85">
        <v>3</v>
      </c>
      <c r="G70" s="85">
        <v>3</v>
      </c>
      <c r="H70" s="85">
        <v>1</v>
      </c>
      <c r="I70" s="85">
        <v>0</v>
      </c>
      <c r="J70" s="85">
        <v>0</v>
      </c>
      <c r="K70" s="85">
        <v>0</v>
      </c>
      <c r="L70" s="85">
        <v>0</v>
      </c>
      <c r="M70" s="85">
        <v>1</v>
      </c>
    </row>
    <row r="71" spans="1:13">
      <c r="A71" s="190">
        <v>11</v>
      </c>
      <c r="B71" s="164" t="s">
        <v>421</v>
      </c>
      <c r="C71" s="240">
        <v>45889</v>
      </c>
      <c r="D71" s="171">
        <v>45894</v>
      </c>
      <c r="E71" s="60" t="s">
        <v>255</v>
      </c>
      <c r="F71" s="172">
        <v>6</v>
      </c>
      <c r="G71" s="172">
        <v>5</v>
      </c>
      <c r="H71" s="172">
        <v>1</v>
      </c>
      <c r="I71" s="172">
        <v>0</v>
      </c>
      <c r="J71" s="172">
        <v>0</v>
      </c>
      <c r="K71" s="172">
        <v>0</v>
      </c>
      <c r="L71" s="172">
        <v>0</v>
      </c>
      <c r="M71" s="172">
        <v>1</v>
      </c>
    </row>
    <row r="72" spans="1:13">
      <c r="A72" s="190">
        <v>12</v>
      </c>
      <c r="B72" s="164" t="s">
        <v>454</v>
      </c>
      <c r="C72" s="191">
        <v>45892</v>
      </c>
      <c r="D72" s="171">
        <v>45897</v>
      </c>
      <c r="E72" s="60" t="s">
        <v>255</v>
      </c>
      <c r="F72" s="172">
        <v>6</v>
      </c>
      <c r="G72" s="172">
        <v>5</v>
      </c>
      <c r="H72" s="172">
        <v>1</v>
      </c>
      <c r="I72" s="172">
        <v>0</v>
      </c>
      <c r="J72" s="172">
        <v>0</v>
      </c>
      <c r="K72" s="172">
        <v>0</v>
      </c>
      <c r="L72" s="172">
        <v>0</v>
      </c>
      <c r="M72" s="172">
        <v>1</v>
      </c>
    </row>
    <row r="73" spans="1:13">
      <c r="A73" s="33">
        <v>13</v>
      </c>
      <c r="B73" s="24" t="s">
        <v>474</v>
      </c>
      <c r="C73" s="152">
        <v>45894</v>
      </c>
      <c r="D73" s="33"/>
      <c r="E73" s="33"/>
      <c r="F73" s="34">
        <v>7</v>
      </c>
      <c r="G73" s="34">
        <v>7</v>
      </c>
      <c r="H73" s="34"/>
      <c r="I73" s="34"/>
      <c r="J73" s="34"/>
      <c r="K73" s="34"/>
      <c r="L73" s="34">
        <v>1</v>
      </c>
      <c r="M73" s="34">
        <v>0</v>
      </c>
    </row>
    <row r="74" spans="1:13">
      <c r="A74" s="119">
        <v>14</v>
      </c>
      <c r="B74" s="28" t="s">
        <v>457</v>
      </c>
      <c r="C74" s="55">
        <v>45897</v>
      </c>
      <c r="D74" s="30">
        <v>45898</v>
      </c>
      <c r="E74" s="21" t="s">
        <v>36</v>
      </c>
      <c r="F74" s="31">
        <v>2</v>
      </c>
      <c r="G74" s="31">
        <v>2</v>
      </c>
      <c r="H74" s="31">
        <v>1</v>
      </c>
      <c r="I74" s="31">
        <v>0</v>
      </c>
      <c r="J74" s="31">
        <v>0</v>
      </c>
      <c r="K74" s="31">
        <v>0</v>
      </c>
      <c r="L74" s="31">
        <v>0</v>
      </c>
      <c r="M74" s="31">
        <v>1</v>
      </c>
    </row>
    <row r="75" spans="1:13">
      <c r="A75" s="33">
        <v>15</v>
      </c>
      <c r="B75" s="24" t="s">
        <v>449</v>
      </c>
      <c r="C75" s="152">
        <v>45897</v>
      </c>
      <c r="D75" s="33"/>
      <c r="E75" s="33"/>
      <c r="F75" s="34">
        <v>4</v>
      </c>
      <c r="G75" s="34">
        <v>4</v>
      </c>
      <c r="H75" s="34"/>
      <c r="I75" s="34"/>
      <c r="J75" s="34"/>
      <c r="K75" s="34"/>
      <c r="L75" s="34">
        <v>1</v>
      </c>
      <c r="M75" s="34">
        <v>0</v>
      </c>
    </row>
    <row r="76" spans="1:13">
      <c r="A76" s="119">
        <v>16</v>
      </c>
      <c r="B76" s="28" t="s">
        <v>448</v>
      </c>
      <c r="C76" s="55">
        <v>45897</v>
      </c>
      <c r="D76" s="30">
        <v>45900</v>
      </c>
      <c r="E76" s="21" t="s">
        <v>36</v>
      </c>
      <c r="F76" s="31">
        <v>4</v>
      </c>
      <c r="G76" s="31">
        <v>4</v>
      </c>
      <c r="H76" s="31">
        <v>1</v>
      </c>
      <c r="I76" s="31">
        <v>0</v>
      </c>
      <c r="J76" s="31">
        <v>0</v>
      </c>
      <c r="K76" s="31">
        <v>0</v>
      </c>
      <c r="L76" s="31">
        <v>1</v>
      </c>
      <c r="M76" s="31">
        <v>0</v>
      </c>
    </row>
    <row r="77" spans="1:13">
      <c r="A77" s="214">
        <v>17</v>
      </c>
      <c r="B77" s="226" t="s">
        <v>413</v>
      </c>
      <c r="C77" s="241">
        <v>45896</v>
      </c>
      <c r="D77" s="242">
        <v>46993</v>
      </c>
      <c r="E77" s="217" t="s">
        <v>431</v>
      </c>
      <c r="F77" s="233">
        <v>2</v>
      </c>
      <c r="G77" s="233">
        <v>1</v>
      </c>
      <c r="H77" s="233">
        <v>1</v>
      </c>
      <c r="I77" s="233">
        <v>0</v>
      </c>
      <c r="J77" s="233">
        <v>0</v>
      </c>
      <c r="K77" s="233">
        <v>0</v>
      </c>
      <c r="L77" s="233">
        <v>1</v>
      </c>
      <c r="M77" s="233">
        <v>0</v>
      </c>
    </row>
    <row r="78" spans="1:13">
      <c r="A78" s="80">
        <v>18</v>
      </c>
      <c r="B78" s="24" t="s">
        <v>459</v>
      </c>
      <c r="C78" s="32">
        <v>45898</v>
      </c>
      <c r="D78" s="26"/>
      <c r="E78" s="26"/>
      <c r="F78" s="27">
        <v>3</v>
      </c>
      <c r="G78" s="27">
        <v>3</v>
      </c>
      <c r="H78" s="27"/>
      <c r="I78" s="27"/>
      <c r="J78" s="27"/>
      <c r="K78" s="27"/>
      <c r="L78" s="27">
        <v>0</v>
      </c>
      <c r="M78" s="27">
        <v>1</v>
      </c>
    </row>
    <row r="79" spans="1:13">
      <c r="A79" s="80">
        <v>19</v>
      </c>
      <c r="B79" s="243" t="s">
        <v>458</v>
      </c>
      <c r="C79" s="32">
        <v>45900</v>
      </c>
      <c r="D79" s="26"/>
      <c r="E79" s="26"/>
      <c r="F79" s="27">
        <v>1</v>
      </c>
      <c r="G79" s="27">
        <v>1</v>
      </c>
      <c r="H79" s="27"/>
      <c r="I79" s="27"/>
      <c r="J79" s="27"/>
      <c r="K79" s="27"/>
      <c r="L79" s="27">
        <v>0</v>
      </c>
      <c r="M79" s="27">
        <v>1</v>
      </c>
    </row>
    <row r="80" spans="1:13">
      <c r="A80" s="103"/>
      <c r="B80" s="104"/>
      <c r="C80" s="104"/>
      <c r="D80" s="104"/>
      <c r="E80" s="105"/>
      <c r="F80" s="196">
        <v>114</v>
      </c>
      <c r="G80" s="153">
        <v>109</v>
      </c>
      <c r="H80" s="107">
        <v>15</v>
      </c>
      <c r="I80" s="153">
        <v>0</v>
      </c>
      <c r="J80" s="153">
        <v>0</v>
      </c>
      <c r="K80" s="153">
        <v>0</v>
      </c>
      <c r="L80" s="153">
        <v>11</v>
      </c>
      <c r="M80" s="153">
        <v>8</v>
      </c>
    </row>
    <row r="81" spans="1:13">
      <c r="A81" s="108"/>
      <c r="B81" s="147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54"/>
    </row>
    <row r="82" spans="1:13" ht="38.25">
      <c r="A82" s="111"/>
      <c r="B82" s="148"/>
      <c r="C82" s="112" t="s">
        <v>91</v>
      </c>
      <c r="D82" s="113" t="s">
        <v>92</v>
      </c>
      <c r="E82" s="112" t="s">
        <v>93</v>
      </c>
      <c r="F82" s="113" t="s">
        <v>94</v>
      </c>
      <c r="G82" s="113" t="s">
        <v>95</v>
      </c>
      <c r="H82" s="113" t="s">
        <v>96</v>
      </c>
      <c r="I82" s="113" t="s">
        <v>97</v>
      </c>
      <c r="J82" s="113" t="s">
        <v>98</v>
      </c>
      <c r="K82" s="112" t="s">
        <v>99</v>
      </c>
      <c r="L82" s="138" t="s">
        <v>100</v>
      </c>
      <c r="M82" s="112" t="s">
        <v>101</v>
      </c>
    </row>
    <row r="83" spans="1:13">
      <c r="A83" s="111"/>
      <c r="B83" s="114"/>
      <c r="C83" s="115">
        <v>4</v>
      </c>
      <c r="D83" s="115">
        <v>31</v>
      </c>
      <c r="E83" s="115">
        <v>124</v>
      </c>
      <c r="F83" s="116">
        <v>114</v>
      </c>
      <c r="G83" s="117">
        <f>F83/E83</f>
        <v>0.91935483870967705</v>
      </c>
      <c r="H83" s="118">
        <f>F80/H80</f>
        <v>7.6</v>
      </c>
      <c r="I83" s="139">
        <f>I80/(L80+M80)</f>
        <v>0</v>
      </c>
      <c r="J83" s="139">
        <f>J80/(M80+N80)</f>
        <v>0</v>
      </c>
      <c r="K83" s="139">
        <v>0</v>
      </c>
      <c r="L83" s="141">
        <f>L80/(L80+M80)</f>
        <v>0.57894736842105299</v>
      </c>
      <c r="M83" s="140">
        <f>M80/(L80+M80)</f>
        <v>0.42105263157894701</v>
      </c>
    </row>
    <row r="85" spans="1:13">
      <c r="B85" t="s">
        <v>354</v>
      </c>
    </row>
    <row r="86" spans="1:13" ht="25.5">
      <c r="A86" s="7" t="s">
        <v>1</v>
      </c>
      <c r="B86" s="10" t="s">
        <v>2</v>
      </c>
      <c r="C86" s="7" t="s">
        <v>3</v>
      </c>
      <c r="D86" s="7" t="s">
        <v>4</v>
      </c>
      <c r="E86" s="8" t="s">
        <v>5</v>
      </c>
      <c r="F86" s="9" t="s">
        <v>6</v>
      </c>
      <c r="G86" s="7" t="s">
        <v>7</v>
      </c>
      <c r="H86" s="10" t="s">
        <v>8</v>
      </c>
      <c r="I86" s="10" t="s">
        <v>9</v>
      </c>
      <c r="J86" s="8" t="s">
        <v>10</v>
      </c>
      <c r="K86" s="134" t="s">
        <v>11</v>
      </c>
      <c r="L86" s="135" t="s">
        <v>12</v>
      </c>
      <c r="M86" s="134" t="s">
        <v>13</v>
      </c>
    </row>
    <row r="87" spans="1:13">
      <c r="A87" s="101">
        <v>1</v>
      </c>
      <c r="B87" s="82" t="s">
        <v>364</v>
      </c>
      <c r="C87" s="199">
        <v>45865</v>
      </c>
      <c r="D87" s="199">
        <v>45895</v>
      </c>
      <c r="E87" s="21" t="s">
        <v>36</v>
      </c>
      <c r="F87" s="102">
        <v>26</v>
      </c>
      <c r="G87" s="102">
        <v>26</v>
      </c>
      <c r="H87" s="102">
        <v>1</v>
      </c>
      <c r="I87" s="102">
        <v>0</v>
      </c>
      <c r="J87" s="102">
        <v>0</v>
      </c>
      <c r="K87" s="102">
        <v>0</v>
      </c>
      <c r="L87" s="102">
        <v>1</v>
      </c>
      <c r="M87" s="102">
        <v>0</v>
      </c>
    </row>
    <row r="88" spans="1:13">
      <c r="A88" s="101">
        <v>2</v>
      </c>
      <c r="B88" s="28" t="s">
        <v>411</v>
      </c>
      <c r="C88" s="199">
        <v>45867</v>
      </c>
      <c r="D88" s="199">
        <v>45882</v>
      </c>
      <c r="E88" s="21" t="s">
        <v>36</v>
      </c>
      <c r="F88" s="102">
        <v>13</v>
      </c>
      <c r="G88" s="102">
        <v>13</v>
      </c>
      <c r="H88" s="102">
        <v>1</v>
      </c>
      <c r="I88" s="102">
        <v>0</v>
      </c>
      <c r="J88" s="102">
        <v>0</v>
      </c>
      <c r="K88" s="102">
        <v>0</v>
      </c>
      <c r="L88" s="102">
        <v>0</v>
      </c>
      <c r="M88" s="102">
        <v>1</v>
      </c>
    </row>
    <row r="89" spans="1:13">
      <c r="A89" s="125">
        <v>3</v>
      </c>
      <c r="B89" s="82" t="s">
        <v>393</v>
      </c>
      <c r="C89" s="126">
        <v>45869</v>
      </c>
      <c r="D89" s="126">
        <v>45873</v>
      </c>
      <c r="E89" s="21" t="s">
        <v>36</v>
      </c>
      <c r="F89" s="22">
        <v>4</v>
      </c>
      <c r="G89" s="22">
        <v>4</v>
      </c>
      <c r="H89" s="22">
        <v>1</v>
      </c>
      <c r="I89" s="22">
        <v>0</v>
      </c>
      <c r="J89" s="22">
        <v>0</v>
      </c>
      <c r="K89" s="22">
        <v>0</v>
      </c>
      <c r="L89" s="22">
        <v>1</v>
      </c>
      <c r="M89" s="22">
        <v>0</v>
      </c>
    </row>
    <row r="90" spans="1:13">
      <c r="A90" s="119">
        <v>4</v>
      </c>
      <c r="B90" s="28" t="s">
        <v>407</v>
      </c>
      <c r="C90" s="151">
        <v>45873</v>
      </c>
      <c r="D90" s="151">
        <v>45882</v>
      </c>
      <c r="E90" s="21" t="s">
        <v>36</v>
      </c>
      <c r="F90" s="85">
        <v>10</v>
      </c>
      <c r="G90" s="85">
        <v>10</v>
      </c>
      <c r="H90" s="85">
        <v>1</v>
      </c>
      <c r="I90" s="85">
        <v>0</v>
      </c>
      <c r="J90" s="85">
        <v>0</v>
      </c>
      <c r="K90" s="85">
        <v>0</v>
      </c>
      <c r="L90" s="85">
        <v>0</v>
      </c>
      <c r="M90" s="85">
        <v>1</v>
      </c>
    </row>
    <row r="91" spans="1:13">
      <c r="A91" s="119">
        <v>5</v>
      </c>
      <c r="B91" s="18" t="s">
        <v>425</v>
      </c>
      <c r="C91" s="55">
        <v>45882</v>
      </c>
      <c r="D91" s="55">
        <v>45888</v>
      </c>
      <c r="E91" s="129" t="s">
        <v>36</v>
      </c>
      <c r="F91" s="31">
        <v>7</v>
      </c>
      <c r="G91" s="31">
        <v>7</v>
      </c>
      <c r="H91" s="31">
        <v>1</v>
      </c>
      <c r="I91" s="31">
        <v>0</v>
      </c>
      <c r="J91" s="31">
        <v>0</v>
      </c>
      <c r="K91" s="31">
        <v>0</v>
      </c>
      <c r="L91" s="31">
        <v>1</v>
      </c>
      <c r="M91" s="31">
        <v>0</v>
      </c>
    </row>
    <row r="92" spans="1:13">
      <c r="A92" s="33">
        <v>6</v>
      </c>
      <c r="B92" s="24" t="s">
        <v>426</v>
      </c>
      <c r="C92" s="178">
        <v>45893</v>
      </c>
      <c r="D92" s="34"/>
      <c r="E92" s="33"/>
      <c r="F92" s="34">
        <v>8</v>
      </c>
      <c r="G92" s="34">
        <v>8</v>
      </c>
      <c r="H92" s="34"/>
      <c r="I92" s="34"/>
      <c r="J92" s="34"/>
      <c r="K92" s="34"/>
      <c r="L92" s="34">
        <v>0</v>
      </c>
      <c r="M92" s="34">
        <v>1</v>
      </c>
    </row>
    <row r="93" spans="1:13">
      <c r="A93" s="33">
        <v>7</v>
      </c>
      <c r="B93" s="24" t="s">
        <v>421</v>
      </c>
      <c r="C93" s="152">
        <v>45894</v>
      </c>
      <c r="D93" s="34"/>
      <c r="E93" s="33"/>
      <c r="F93" s="34">
        <v>7</v>
      </c>
      <c r="G93" s="34">
        <v>7</v>
      </c>
      <c r="H93" s="34"/>
      <c r="I93" s="34"/>
      <c r="J93" s="34"/>
      <c r="K93" s="34"/>
      <c r="L93" s="34">
        <v>0</v>
      </c>
      <c r="M93" s="34">
        <v>1</v>
      </c>
    </row>
    <row r="94" spans="1:13">
      <c r="A94" s="33">
        <v>8</v>
      </c>
      <c r="B94" s="243" t="s">
        <v>454</v>
      </c>
      <c r="C94" s="152">
        <v>45897</v>
      </c>
      <c r="D94" s="34"/>
      <c r="E94" s="33"/>
      <c r="F94" s="34">
        <v>4</v>
      </c>
      <c r="G94" s="34">
        <v>4</v>
      </c>
      <c r="H94" s="34"/>
      <c r="I94" s="34"/>
      <c r="J94" s="34"/>
      <c r="K94" s="34"/>
      <c r="L94" s="34">
        <v>0</v>
      </c>
      <c r="M94" s="34">
        <v>1</v>
      </c>
    </row>
    <row r="95" spans="1:13">
      <c r="A95" s="103"/>
      <c r="B95" s="104"/>
      <c r="C95" s="104"/>
      <c r="D95" s="104"/>
      <c r="E95" s="105"/>
      <c r="F95" s="196">
        <v>79</v>
      </c>
      <c r="G95" s="153">
        <v>79</v>
      </c>
      <c r="H95" s="107">
        <v>5</v>
      </c>
      <c r="I95" s="153">
        <v>0</v>
      </c>
      <c r="J95" s="153">
        <v>0</v>
      </c>
      <c r="K95" s="153">
        <v>0</v>
      </c>
      <c r="L95" s="153">
        <v>3</v>
      </c>
      <c r="M95" s="153">
        <v>5</v>
      </c>
    </row>
    <row r="96" spans="1:13">
      <c r="A96" s="108"/>
      <c r="B96" s="147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54"/>
    </row>
    <row r="97" spans="1:13" ht="38.25">
      <c r="A97" s="111"/>
      <c r="B97" s="148"/>
      <c r="C97" s="112" t="s">
        <v>91</v>
      </c>
      <c r="D97" s="113" t="s">
        <v>92</v>
      </c>
      <c r="E97" s="112" t="s">
        <v>93</v>
      </c>
      <c r="F97" s="113" t="s">
        <v>94</v>
      </c>
      <c r="G97" s="113" t="s">
        <v>95</v>
      </c>
      <c r="H97" s="113" t="s">
        <v>96</v>
      </c>
      <c r="I97" s="113" t="s">
        <v>97</v>
      </c>
      <c r="J97" s="113" t="s">
        <v>98</v>
      </c>
      <c r="K97" s="112" t="s">
        <v>99</v>
      </c>
      <c r="L97" s="138" t="s">
        <v>100</v>
      </c>
      <c r="M97" s="112" t="s">
        <v>101</v>
      </c>
    </row>
    <row r="98" spans="1:13">
      <c r="A98" s="111"/>
      <c r="B98" s="114"/>
      <c r="C98" s="115">
        <v>3</v>
      </c>
      <c r="D98" s="115">
        <v>31</v>
      </c>
      <c r="E98" s="115">
        <v>93</v>
      </c>
      <c r="F98" s="116">
        <v>79</v>
      </c>
      <c r="G98" s="117">
        <f>F98/E98</f>
        <v>0.84946236559139798</v>
      </c>
      <c r="H98" s="118">
        <f>F95/H95</f>
        <v>15.8</v>
      </c>
      <c r="I98" s="139">
        <f>I95/(L95+M95)</f>
        <v>0</v>
      </c>
      <c r="J98" s="139">
        <v>0</v>
      </c>
      <c r="K98" s="140">
        <v>0</v>
      </c>
      <c r="L98" s="141">
        <f>L95/(L95+M95)</f>
        <v>0.375</v>
      </c>
      <c r="M98" s="140">
        <f>M95/(L95+M95)</f>
        <v>0.625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88"/>
  <sheetViews>
    <sheetView topLeftCell="A24" workbookViewId="0">
      <selection activeCell="E52" sqref="E52"/>
    </sheetView>
  </sheetViews>
  <sheetFormatPr defaultColWidth="9" defaultRowHeight="15"/>
  <cols>
    <col min="1" max="1" width="5" customWidth="1"/>
    <col min="2" max="2" width="34.42578125" customWidth="1"/>
    <col min="3" max="3" width="12.28515625" customWidth="1"/>
    <col min="4" max="4" width="11.140625" customWidth="1"/>
    <col min="5" max="5" width="15.42578125" customWidth="1"/>
    <col min="7" max="7" width="9.28515625" customWidth="1"/>
  </cols>
  <sheetData>
    <row r="1" spans="1:13">
      <c r="A1" s="666" t="s">
        <v>475</v>
      </c>
      <c r="B1" s="666"/>
      <c r="C1" s="666"/>
      <c r="D1" s="666"/>
      <c r="E1" s="666"/>
      <c r="F1" s="666"/>
      <c r="G1" s="1">
        <v>45901</v>
      </c>
      <c r="H1" s="2"/>
      <c r="I1" s="2"/>
      <c r="J1" s="2"/>
      <c r="K1" s="2"/>
      <c r="L1" s="2"/>
      <c r="M1" s="2"/>
    </row>
    <row r="3" spans="1:13">
      <c r="B3" s="3" t="s">
        <v>246</v>
      </c>
    </row>
    <row r="4" spans="1:13" ht="25.5">
      <c r="A4" s="4" t="s">
        <v>1</v>
      </c>
      <c r="B4" s="5" t="s">
        <v>2</v>
      </c>
      <c r="C4" s="155" t="s">
        <v>3</v>
      </c>
      <c r="D4" s="7" t="s">
        <v>4</v>
      </c>
      <c r="E4" s="8" t="s">
        <v>5</v>
      </c>
      <c r="F4" s="9" t="s">
        <v>6</v>
      </c>
      <c r="G4" s="7" t="s">
        <v>7</v>
      </c>
      <c r="H4" s="10" t="s">
        <v>8</v>
      </c>
      <c r="I4" s="10" t="s">
        <v>9</v>
      </c>
      <c r="J4" s="8" t="s">
        <v>10</v>
      </c>
      <c r="K4" s="134" t="s">
        <v>11</v>
      </c>
      <c r="L4" s="135" t="s">
        <v>12</v>
      </c>
      <c r="M4" s="134" t="s">
        <v>13</v>
      </c>
    </row>
    <row r="5" spans="1:13">
      <c r="A5" s="156">
        <v>1</v>
      </c>
      <c r="B5" s="157" t="s">
        <v>415</v>
      </c>
      <c r="C5" s="158">
        <v>45856</v>
      </c>
      <c r="D5" s="159">
        <v>45903</v>
      </c>
      <c r="E5" s="160" t="s">
        <v>476</v>
      </c>
      <c r="F5" s="160">
        <v>3</v>
      </c>
      <c r="G5" s="160">
        <v>3</v>
      </c>
      <c r="H5" s="160">
        <v>1</v>
      </c>
      <c r="I5" s="160">
        <v>0</v>
      </c>
      <c r="J5" s="160">
        <v>0</v>
      </c>
      <c r="K5" s="160">
        <v>0</v>
      </c>
      <c r="L5" s="160">
        <v>1</v>
      </c>
      <c r="M5" s="160">
        <v>0</v>
      </c>
    </row>
    <row r="6" spans="1:13">
      <c r="A6" s="35">
        <v>2</v>
      </c>
      <c r="B6" s="127" t="s">
        <v>438</v>
      </c>
      <c r="C6" s="25">
        <v>45856</v>
      </c>
      <c r="D6" s="27"/>
      <c r="E6" s="27"/>
      <c r="F6" s="27">
        <v>30</v>
      </c>
      <c r="G6" s="27">
        <v>30</v>
      </c>
      <c r="H6" s="27"/>
      <c r="I6" s="27"/>
      <c r="J6" s="27"/>
      <c r="K6" s="27"/>
      <c r="L6" s="27">
        <v>0</v>
      </c>
      <c r="M6" s="27">
        <v>1</v>
      </c>
    </row>
    <row r="7" spans="1:13">
      <c r="A7" s="23">
        <v>3</v>
      </c>
      <c r="B7" s="127" t="s">
        <v>441</v>
      </c>
      <c r="C7" s="25">
        <v>45870</v>
      </c>
      <c r="D7" s="26"/>
      <c r="E7" s="26"/>
      <c r="F7" s="27">
        <v>30</v>
      </c>
      <c r="G7" s="27">
        <v>30</v>
      </c>
      <c r="H7" s="27"/>
      <c r="I7" s="27"/>
      <c r="J7" s="27"/>
      <c r="K7" s="27"/>
      <c r="L7" s="27">
        <v>0</v>
      </c>
      <c r="M7" s="27">
        <v>1</v>
      </c>
    </row>
    <row r="8" spans="1:13">
      <c r="A8" s="23">
        <v>4</v>
      </c>
      <c r="B8" s="127" t="s">
        <v>442</v>
      </c>
      <c r="C8" s="25">
        <v>45875</v>
      </c>
      <c r="D8" s="26"/>
      <c r="E8" s="26"/>
      <c r="F8" s="27">
        <v>30</v>
      </c>
      <c r="G8" s="27">
        <v>30</v>
      </c>
      <c r="H8" s="27"/>
      <c r="I8" s="27"/>
      <c r="J8" s="27"/>
      <c r="K8" s="27"/>
      <c r="L8" s="27">
        <v>1</v>
      </c>
      <c r="M8" s="27">
        <v>0</v>
      </c>
    </row>
    <row r="9" spans="1:13">
      <c r="A9" s="62">
        <v>5</v>
      </c>
      <c r="B9" s="37" t="s">
        <v>445</v>
      </c>
      <c r="C9" s="161">
        <v>45875</v>
      </c>
      <c r="D9" s="162">
        <v>45911</v>
      </c>
      <c r="E9" s="40" t="s">
        <v>17</v>
      </c>
      <c r="F9" s="72">
        <v>11</v>
      </c>
      <c r="G9" s="72">
        <v>11</v>
      </c>
      <c r="H9" s="72">
        <v>1</v>
      </c>
      <c r="I9" s="72">
        <v>1</v>
      </c>
      <c r="J9" s="72">
        <v>1</v>
      </c>
      <c r="K9" s="72">
        <v>0</v>
      </c>
      <c r="L9" s="72">
        <v>1</v>
      </c>
      <c r="M9" s="72">
        <v>0</v>
      </c>
    </row>
    <row r="10" spans="1:13">
      <c r="A10" s="62">
        <v>6</v>
      </c>
      <c r="B10" s="37" t="s">
        <v>447</v>
      </c>
      <c r="C10" s="161">
        <v>45877</v>
      </c>
      <c r="D10" s="162">
        <v>45901</v>
      </c>
      <c r="E10" s="40" t="s">
        <v>17</v>
      </c>
      <c r="F10" s="72">
        <v>1</v>
      </c>
      <c r="G10" s="72">
        <v>1</v>
      </c>
      <c r="H10" s="72">
        <v>1</v>
      </c>
      <c r="I10" s="72">
        <v>1</v>
      </c>
      <c r="J10" s="72">
        <v>1</v>
      </c>
      <c r="K10" s="72">
        <v>0</v>
      </c>
      <c r="L10" s="72">
        <v>0</v>
      </c>
      <c r="M10" s="72">
        <v>1</v>
      </c>
    </row>
    <row r="11" spans="1:13">
      <c r="A11" s="163">
        <v>7</v>
      </c>
      <c r="B11" s="28" t="s">
        <v>452</v>
      </c>
      <c r="C11" s="83">
        <v>45885</v>
      </c>
      <c r="D11" s="84">
        <v>45916</v>
      </c>
      <c r="E11" s="21" t="s">
        <v>36</v>
      </c>
      <c r="F11" s="102">
        <v>16</v>
      </c>
      <c r="G11" s="102">
        <v>16</v>
      </c>
      <c r="H11" s="102">
        <v>1</v>
      </c>
      <c r="I11" s="102">
        <v>0</v>
      </c>
      <c r="J11" s="102">
        <v>0</v>
      </c>
      <c r="K11" s="102">
        <v>0</v>
      </c>
      <c r="L11" s="102">
        <v>0</v>
      </c>
      <c r="M11" s="102">
        <v>1</v>
      </c>
    </row>
    <row r="12" spans="1:13">
      <c r="A12" s="56">
        <v>8</v>
      </c>
      <c r="B12" s="164" t="s">
        <v>455</v>
      </c>
      <c r="C12" s="58">
        <v>45893</v>
      </c>
      <c r="D12" s="59">
        <v>45910</v>
      </c>
      <c r="E12" s="60" t="s">
        <v>255</v>
      </c>
      <c r="F12" s="61">
        <v>10</v>
      </c>
      <c r="G12" s="61">
        <v>9</v>
      </c>
      <c r="H12" s="61">
        <v>1</v>
      </c>
      <c r="I12" s="61">
        <v>0</v>
      </c>
      <c r="J12" s="61">
        <v>0</v>
      </c>
      <c r="K12" s="61">
        <v>0</v>
      </c>
      <c r="L12" s="61">
        <v>1</v>
      </c>
      <c r="M12" s="61">
        <v>0</v>
      </c>
    </row>
    <row r="13" spans="1:13">
      <c r="A13" s="66">
        <v>9</v>
      </c>
      <c r="B13" s="86" t="s">
        <v>456</v>
      </c>
      <c r="C13" s="50">
        <v>45887</v>
      </c>
      <c r="D13" s="68">
        <v>45913</v>
      </c>
      <c r="E13" s="52" t="s">
        <v>250</v>
      </c>
      <c r="F13" s="53">
        <v>13</v>
      </c>
      <c r="G13" s="53">
        <v>12</v>
      </c>
      <c r="H13" s="53">
        <v>1</v>
      </c>
      <c r="I13" s="53">
        <v>0</v>
      </c>
      <c r="J13" s="53">
        <v>0</v>
      </c>
      <c r="K13" s="53">
        <v>0</v>
      </c>
      <c r="L13" s="53">
        <v>0</v>
      </c>
      <c r="M13" s="53">
        <v>1</v>
      </c>
    </row>
    <row r="14" spans="1:13">
      <c r="A14" s="165">
        <v>10</v>
      </c>
      <c r="B14" s="37" t="s">
        <v>460</v>
      </c>
      <c r="C14" s="38">
        <v>45887</v>
      </c>
      <c r="D14" s="166">
        <v>45919</v>
      </c>
      <c r="E14" s="40" t="s">
        <v>17</v>
      </c>
      <c r="F14" s="41">
        <v>19</v>
      </c>
      <c r="G14" s="41">
        <v>19</v>
      </c>
      <c r="H14" s="41">
        <v>1</v>
      </c>
      <c r="I14" s="41">
        <v>1</v>
      </c>
      <c r="J14" s="41">
        <v>1</v>
      </c>
      <c r="K14" s="41">
        <v>0</v>
      </c>
      <c r="L14" s="41">
        <v>1</v>
      </c>
      <c r="M14" s="41">
        <v>0</v>
      </c>
    </row>
    <row r="15" spans="1:13">
      <c r="A15" s="163">
        <v>11</v>
      </c>
      <c r="B15" s="28" t="s">
        <v>461</v>
      </c>
      <c r="C15" s="167">
        <v>45894</v>
      </c>
      <c r="D15" s="168">
        <v>45905</v>
      </c>
      <c r="E15" s="21" t="s">
        <v>36</v>
      </c>
      <c r="F15" s="85">
        <v>5</v>
      </c>
      <c r="G15" s="85">
        <v>5</v>
      </c>
      <c r="H15" s="85">
        <v>1</v>
      </c>
      <c r="I15" s="85">
        <v>0</v>
      </c>
      <c r="J15" s="85">
        <v>0</v>
      </c>
      <c r="K15" s="85">
        <v>0</v>
      </c>
      <c r="L15" s="85">
        <v>1</v>
      </c>
      <c r="M15" s="85">
        <v>0</v>
      </c>
    </row>
    <row r="16" spans="1:13">
      <c r="A16" s="66">
        <v>12</v>
      </c>
      <c r="B16" s="86" t="s">
        <v>462</v>
      </c>
      <c r="C16" s="50">
        <v>45896</v>
      </c>
      <c r="D16" s="68">
        <v>45927</v>
      </c>
      <c r="E16" s="52" t="s">
        <v>250</v>
      </c>
      <c r="F16" s="53">
        <v>27</v>
      </c>
      <c r="G16" s="53">
        <v>26</v>
      </c>
      <c r="H16" s="53">
        <v>1</v>
      </c>
      <c r="I16" s="53">
        <v>0</v>
      </c>
      <c r="J16" s="53">
        <v>0</v>
      </c>
      <c r="K16" s="53">
        <v>0</v>
      </c>
      <c r="L16" s="53">
        <v>0</v>
      </c>
      <c r="M16" s="53">
        <v>1</v>
      </c>
    </row>
    <row r="17" spans="1:13">
      <c r="A17" s="56">
        <v>13</v>
      </c>
      <c r="B17" s="164" t="s">
        <v>463</v>
      </c>
      <c r="C17" s="58">
        <v>45896</v>
      </c>
      <c r="D17" s="59">
        <v>45912</v>
      </c>
      <c r="E17" s="60" t="s">
        <v>255</v>
      </c>
      <c r="F17" s="61">
        <v>12</v>
      </c>
      <c r="G17" s="61">
        <v>11</v>
      </c>
      <c r="H17" s="61">
        <v>1</v>
      </c>
      <c r="I17" s="61">
        <v>0</v>
      </c>
      <c r="J17" s="61">
        <v>0</v>
      </c>
      <c r="K17" s="61">
        <v>0</v>
      </c>
      <c r="L17" s="61">
        <v>1</v>
      </c>
      <c r="M17" s="61">
        <v>0</v>
      </c>
    </row>
    <row r="18" spans="1:13">
      <c r="A18" s="23">
        <v>14</v>
      </c>
      <c r="B18" s="127" t="s">
        <v>464</v>
      </c>
      <c r="C18" s="32">
        <v>45897</v>
      </c>
      <c r="D18" s="33"/>
      <c r="E18" s="33"/>
      <c r="F18" s="34">
        <v>30</v>
      </c>
      <c r="G18" s="34">
        <v>30</v>
      </c>
      <c r="H18" s="34"/>
      <c r="I18" s="34"/>
      <c r="J18" s="34"/>
      <c r="K18" s="34"/>
      <c r="L18" s="34">
        <v>0</v>
      </c>
      <c r="M18" s="34">
        <v>1</v>
      </c>
    </row>
    <row r="19" spans="1:13">
      <c r="A19" s="169">
        <v>15</v>
      </c>
      <c r="B19" s="164" t="s">
        <v>477</v>
      </c>
      <c r="C19" s="170">
        <v>45897</v>
      </c>
      <c r="D19" s="171">
        <v>45919</v>
      </c>
      <c r="E19" s="60" t="s">
        <v>255</v>
      </c>
      <c r="F19" s="172">
        <v>19</v>
      </c>
      <c r="G19" s="172">
        <v>18</v>
      </c>
      <c r="H19" s="172">
        <v>1</v>
      </c>
      <c r="I19" s="172">
        <v>0</v>
      </c>
      <c r="J19" s="172">
        <v>0</v>
      </c>
      <c r="K19" s="172">
        <v>0</v>
      </c>
      <c r="L19" s="172">
        <v>0</v>
      </c>
      <c r="M19" s="172">
        <v>1</v>
      </c>
    </row>
    <row r="20" spans="1:13">
      <c r="A20" s="66">
        <v>16</v>
      </c>
      <c r="B20" s="86" t="s">
        <v>466</v>
      </c>
      <c r="C20" s="50">
        <v>45897</v>
      </c>
      <c r="D20" s="68">
        <v>45909</v>
      </c>
      <c r="E20" s="52" t="s">
        <v>250</v>
      </c>
      <c r="F20" s="53">
        <v>9</v>
      </c>
      <c r="G20" s="53">
        <v>8</v>
      </c>
      <c r="H20" s="53">
        <v>1</v>
      </c>
      <c r="I20" s="53">
        <v>0</v>
      </c>
      <c r="J20" s="53">
        <v>0</v>
      </c>
      <c r="K20" s="53">
        <v>0</v>
      </c>
      <c r="L20" s="53">
        <v>1</v>
      </c>
      <c r="M20" s="53">
        <v>0</v>
      </c>
    </row>
    <row r="21" spans="1:13">
      <c r="A21" s="66">
        <v>17</v>
      </c>
      <c r="B21" s="173" t="s">
        <v>468</v>
      </c>
      <c r="C21" s="50">
        <v>45898</v>
      </c>
      <c r="D21" s="68">
        <v>45926</v>
      </c>
      <c r="E21" s="52" t="s">
        <v>250</v>
      </c>
      <c r="F21" s="53">
        <v>26</v>
      </c>
      <c r="G21" s="53">
        <v>25</v>
      </c>
      <c r="H21" s="53">
        <v>1</v>
      </c>
      <c r="I21" s="53">
        <v>0</v>
      </c>
      <c r="J21" s="53">
        <v>0</v>
      </c>
      <c r="K21" s="53">
        <v>0</v>
      </c>
      <c r="L21" s="53">
        <v>1</v>
      </c>
      <c r="M21" s="53">
        <v>0</v>
      </c>
    </row>
    <row r="22" spans="1:13">
      <c r="A22" s="23">
        <v>18</v>
      </c>
      <c r="B22" s="127" t="s">
        <v>478</v>
      </c>
      <c r="C22" s="32">
        <v>45900</v>
      </c>
      <c r="D22" s="33"/>
      <c r="E22" s="33"/>
      <c r="F22" s="34">
        <v>30</v>
      </c>
      <c r="G22" s="34">
        <v>30</v>
      </c>
      <c r="H22" s="34"/>
      <c r="I22" s="34"/>
      <c r="J22" s="34"/>
      <c r="K22" s="34"/>
      <c r="L22" s="34">
        <v>1</v>
      </c>
      <c r="M22" s="34">
        <v>0</v>
      </c>
    </row>
    <row r="23" spans="1:13">
      <c r="A23" s="35">
        <v>19</v>
      </c>
      <c r="B23" s="127" t="s">
        <v>479</v>
      </c>
      <c r="C23" s="32">
        <v>45904</v>
      </c>
      <c r="D23" s="34"/>
      <c r="E23" s="34"/>
      <c r="F23" s="34">
        <v>27</v>
      </c>
      <c r="G23" s="34">
        <v>27</v>
      </c>
      <c r="H23" s="34"/>
      <c r="I23" s="34"/>
      <c r="J23" s="34"/>
      <c r="K23" s="34"/>
      <c r="L23" s="34">
        <v>0</v>
      </c>
      <c r="M23" s="34">
        <v>1</v>
      </c>
    </row>
    <row r="24" spans="1:13">
      <c r="A24" s="36">
        <v>20</v>
      </c>
      <c r="B24" s="37" t="s">
        <v>480</v>
      </c>
      <c r="C24" s="38">
        <v>45908</v>
      </c>
      <c r="D24" s="39">
        <v>45909</v>
      </c>
      <c r="E24" s="40" t="s">
        <v>17</v>
      </c>
      <c r="F24" s="41">
        <v>2</v>
      </c>
      <c r="G24" s="41">
        <v>2</v>
      </c>
      <c r="H24" s="41">
        <v>1</v>
      </c>
      <c r="I24" s="41">
        <v>1</v>
      </c>
      <c r="J24" s="41">
        <v>0</v>
      </c>
      <c r="K24" s="41">
        <v>1</v>
      </c>
      <c r="L24" s="41">
        <v>0</v>
      </c>
      <c r="M24" s="41">
        <v>1</v>
      </c>
    </row>
    <row r="25" spans="1:13">
      <c r="A25" s="54">
        <v>21</v>
      </c>
      <c r="B25" s="28" t="s">
        <v>481</v>
      </c>
      <c r="C25" s="29">
        <v>45907</v>
      </c>
      <c r="D25" s="55">
        <v>45924</v>
      </c>
      <c r="E25" s="21" t="s">
        <v>36</v>
      </c>
      <c r="F25" s="31">
        <v>18</v>
      </c>
      <c r="G25" s="31">
        <v>18</v>
      </c>
      <c r="H25" s="31">
        <v>1</v>
      </c>
      <c r="I25" s="31">
        <v>0</v>
      </c>
      <c r="J25" s="31">
        <v>0</v>
      </c>
      <c r="K25" s="31">
        <v>0</v>
      </c>
      <c r="L25" s="31">
        <v>0</v>
      </c>
      <c r="M25" s="31">
        <v>1</v>
      </c>
    </row>
    <row r="26" spans="1:13">
      <c r="A26" s="42">
        <v>22</v>
      </c>
      <c r="B26" s="43" t="s">
        <v>482</v>
      </c>
      <c r="C26" s="44">
        <v>45911</v>
      </c>
      <c r="D26" s="45">
        <v>45914</v>
      </c>
      <c r="E26" s="40" t="s">
        <v>17</v>
      </c>
      <c r="F26" s="47">
        <v>4</v>
      </c>
      <c r="G26" s="47">
        <v>4</v>
      </c>
      <c r="H26" s="47">
        <v>1</v>
      </c>
      <c r="I26" s="47">
        <v>1</v>
      </c>
      <c r="J26" s="47">
        <v>1</v>
      </c>
      <c r="K26" s="47">
        <v>0</v>
      </c>
      <c r="L26" s="47">
        <v>0</v>
      </c>
      <c r="M26" s="47">
        <v>1</v>
      </c>
    </row>
    <row r="27" spans="1:13">
      <c r="A27" s="35">
        <v>23</v>
      </c>
      <c r="B27" s="127" t="s">
        <v>483</v>
      </c>
      <c r="C27" s="32">
        <v>45915</v>
      </c>
      <c r="D27" s="34"/>
      <c r="E27" s="34"/>
      <c r="F27" s="34">
        <v>16</v>
      </c>
      <c r="G27" s="34">
        <v>16</v>
      </c>
      <c r="H27" s="34"/>
      <c r="I27" s="34"/>
      <c r="J27" s="34"/>
      <c r="K27" s="34"/>
      <c r="L27" s="34">
        <v>1</v>
      </c>
      <c r="M27" s="34">
        <v>0</v>
      </c>
    </row>
    <row r="28" spans="1:13">
      <c r="A28" s="35">
        <v>24</v>
      </c>
      <c r="B28" s="127" t="s">
        <v>484</v>
      </c>
      <c r="C28" s="32">
        <v>45911</v>
      </c>
      <c r="D28" s="34"/>
      <c r="E28" s="34"/>
      <c r="F28" s="34">
        <v>20</v>
      </c>
      <c r="G28" s="34">
        <v>20</v>
      </c>
      <c r="H28" s="34"/>
      <c r="I28" s="34"/>
      <c r="J28" s="34"/>
      <c r="K28" s="34"/>
      <c r="L28" s="34">
        <v>1</v>
      </c>
      <c r="M28" s="34">
        <v>0</v>
      </c>
    </row>
    <row r="29" spans="1:13">
      <c r="A29" s="174">
        <v>25</v>
      </c>
      <c r="B29" s="86" t="s">
        <v>485</v>
      </c>
      <c r="C29" s="175">
        <v>45910</v>
      </c>
      <c r="D29" s="89">
        <v>45916</v>
      </c>
      <c r="E29" s="52" t="s">
        <v>250</v>
      </c>
      <c r="F29" s="90">
        <v>7</v>
      </c>
      <c r="G29" s="90">
        <v>6</v>
      </c>
      <c r="H29" s="90">
        <v>1</v>
      </c>
      <c r="I29" s="90">
        <v>0</v>
      </c>
      <c r="J29" s="90">
        <v>0</v>
      </c>
      <c r="K29" s="90">
        <v>0</v>
      </c>
      <c r="L29" s="90">
        <v>0</v>
      </c>
      <c r="M29" s="90">
        <v>1</v>
      </c>
    </row>
    <row r="30" spans="1:13">
      <c r="A30" s="48">
        <v>26</v>
      </c>
      <c r="B30" s="86" t="s">
        <v>474</v>
      </c>
      <c r="C30" s="50">
        <v>45913</v>
      </c>
      <c r="D30" s="51">
        <v>45921</v>
      </c>
      <c r="E30" s="52" t="s">
        <v>250</v>
      </c>
      <c r="F30" s="53">
        <v>9</v>
      </c>
      <c r="G30" s="53">
        <v>8</v>
      </c>
      <c r="H30" s="53">
        <v>1</v>
      </c>
      <c r="I30" s="53">
        <v>0</v>
      </c>
      <c r="J30" s="53">
        <v>0</v>
      </c>
      <c r="K30" s="53">
        <v>0</v>
      </c>
      <c r="L30" s="53">
        <v>1</v>
      </c>
      <c r="M30" s="53">
        <v>0</v>
      </c>
    </row>
    <row r="31" spans="1:13">
      <c r="A31" s="48">
        <v>27</v>
      </c>
      <c r="B31" s="86" t="s">
        <v>486</v>
      </c>
      <c r="C31" s="50">
        <v>45912</v>
      </c>
      <c r="D31" s="51">
        <v>45923</v>
      </c>
      <c r="E31" s="52" t="s">
        <v>250</v>
      </c>
      <c r="F31" s="53">
        <v>12</v>
      </c>
      <c r="G31" s="53">
        <v>11</v>
      </c>
      <c r="H31" s="53">
        <v>1</v>
      </c>
      <c r="I31" s="53">
        <v>0</v>
      </c>
      <c r="J31" s="53">
        <v>0</v>
      </c>
      <c r="K31" s="53">
        <v>0</v>
      </c>
      <c r="L31" s="53">
        <v>1</v>
      </c>
      <c r="M31" s="53">
        <v>0</v>
      </c>
    </row>
    <row r="32" spans="1:13">
      <c r="A32" s="35">
        <v>28</v>
      </c>
      <c r="B32" s="131" t="s">
        <v>487</v>
      </c>
      <c r="C32" s="32">
        <v>45920</v>
      </c>
      <c r="D32" s="34"/>
      <c r="E32" s="34"/>
      <c r="F32" s="34">
        <v>11</v>
      </c>
      <c r="G32" s="34">
        <v>11</v>
      </c>
      <c r="H32" s="34"/>
      <c r="I32" s="34"/>
      <c r="J32" s="34"/>
      <c r="K32" s="34"/>
      <c r="L32" s="34">
        <v>1</v>
      </c>
      <c r="M32" s="34">
        <v>0</v>
      </c>
    </row>
    <row r="33" spans="1:13">
      <c r="A33" s="35">
        <v>29</v>
      </c>
      <c r="B33" s="127" t="s">
        <v>488</v>
      </c>
      <c r="C33" s="32">
        <v>45921</v>
      </c>
      <c r="D33" s="34"/>
      <c r="E33" s="34"/>
      <c r="F33" s="34">
        <v>10</v>
      </c>
      <c r="G33" s="34">
        <v>10</v>
      </c>
      <c r="H33" s="34"/>
      <c r="I33" s="34"/>
      <c r="J33" s="34"/>
      <c r="K33" s="34"/>
      <c r="L33" s="34">
        <v>0</v>
      </c>
      <c r="M33" s="34">
        <v>1</v>
      </c>
    </row>
    <row r="34" spans="1:13">
      <c r="A34" s="35">
        <v>30</v>
      </c>
      <c r="B34" s="127" t="s">
        <v>489</v>
      </c>
      <c r="C34" s="32">
        <v>45917</v>
      </c>
      <c r="D34" s="34"/>
      <c r="E34" s="34"/>
      <c r="F34" s="34">
        <v>14</v>
      </c>
      <c r="G34" s="34">
        <v>14</v>
      </c>
      <c r="H34" s="34"/>
      <c r="I34" s="34"/>
      <c r="J34" s="34"/>
      <c r="K34" s="34"/>
      <c r="L34" s="34">
        <v>1</v>
      </c>
      <c r="M34" s="34">
        <v>0</v>
      </c>
    </row>
    <row r="35" spans="1:13">
      <c r="A35" s="23">
        <v>31</v>
      </c>
      <c r="B35" s="127" t="s">
        <v>490</v>
      </c>
      <c r="C35" s="32">
        <v>45917</v>
      </c>
      <c r="D35" s="33"/>
      <c r="E35" s="33"/>
      <c r="F35" s="34">
        <v>14</v>
      </c>
      <c r="G35" s="34">
        <v>14</v>
      </c>
      <c r="H35" s="34"/>
      <c r="I35" s="34"/>
      <c r="J35" s="34"/>
      <c r="K35" s="34"/>
      <c r="L35" s="34">
        <v>1</v>
      </c>
      <c r="M35" s="34">
        <v>0</v>
      </c>
    </row>
    <row r="36" spans="1:13">
      <c r="A36" s="66">
        <v>32</v>
      </c>
      <c r="B36" s="67" t="s">
        <v>491</v>
      </c>
      <c r="C36" s="50">
        <v>45916</v>
      </c>
      <c r="D36" s="68">
        <v>45924</v>
      </c>
      <c r="E36" s="52" t="s">
        <v>250</v>
      </c>
      <c r="F36" s="53">
        <v>9</v>
      </c>
      <c r="G36" s="53">
        <v>8</v>
      </c>
      <c r="H36" s="53">
        <v>1</v>
      </c>
      <c r="I36" s="53">
        <v>0</v>
      </c>
      <c r="J36" s="53">
        <v>0</v>
      </c>
      <c r="K36" s="53">
        <v>0</v>
      </c>
      <c r="L36" s="53">
        <v>1</v>
      </c>
      <c r="M36" s="53">
        <v>0</v>
      </c>
    </row>
    <row r="37" spans="1:13">
      <c r="A37" s="66">
        <v>33</v>
      </c>
      <c r="B37" s="86" t="s">
        <v>492</v>
      </c>
      <c r="C37" s="176">
        <v>45922</v>
      </c>
      <c r="D37" s="68">
        <v>45929</v>
      </c>
      <c r="E37" s="52" t="s">
        <v>250</v>
      </c>
      <c r="F37" s="53">
        <v>8</v>
      </c>
      <c r="G37" s="53">
        <v>7</v>
      </c>
      <c r="H37" s="53">
        <v>1</v>
      </c>
      <c r="I37" s="53">
        <v>0</v>
      </c>
      <c r="J37" s="53">
        <v>0</v>
      </c>
      <c r="K37" s="53">
        <v>0</v>
      </c>
      <c r="L37" s="192">
        <v>1</v>
      </c>
      <c r="M37" s="192">
        <v>0</v>
      </c>
    </row>
    <row r="38" spans="1:13">
      <c r="A38" s="23">
        <v>34</v>
      </c>
      <c r="B38" s="131" t="s">
        <v>493</v>
      </c>
      <c r="C38" s="177">
        <v>45923</v>
      </c>
      <c r="D38" s="33"/>
      <c r="E38" s="33"/>
      <c r="F38" s="34">
        <v>8</v>
      </c>
      <c r="G38" s="34">
        <v>8</v>
      </c>
      <c r="H38" s="34"/>
      <c r="I38" s="34"/>
      <c r="J38" s="34"/>
      <c r="K38" s="34"/>
      <c r="L38" s="34">
        <v>0</v>
      </c>
      <c r="M38" s="34">
        <v>1</v>
      </c>
    </row>
    <row r="39" spans="1:13">
      <c r="A39" s="66">
        <v>35</v>
      </c>
      <c r="B39" s="86" t="s">
        <v>494</v>
      </c>
      <c r="C39" s="50">
        <v>45924</v>
      </c>
      <c r="D39" s="68">
        <v>45930</v>
      </c>
      <c r="E39" s="52" t="s">
        <v>250</v>
      </c>
      <c r="F39" s="53"/>
      <c r="G39" s="53"/>
      <c r="H39" s="53"/>
      <c r="I39" s="53"/>
      <c r="J39" s="53"/>
      <c r="K39" s="53"/>
      <c r="L39" s="53">
        <v>1</v>
      </c>
      <c r="M39" s="53">
        <v>0</v>
      </c>
    </row>
    <row r="40" spans="1:13">
      <c r="A40" s="23">
        <v>36</v>
      </c>
      <c r="B40" s="127" t="s">
        <v>495</v>
      </c>
      <c r="C40" s="32">
        <v>45924</v>
      </c>
      <c r="D40" s="33"/>
      <c r="E40" s="33"/>
      <c r="F40" s="34">
        <v>7</v>
      </c>
      <c r="G40" s="34">
        <v>7</v>
      </c>
      <c r="H40" s="34"/>
      <c r="I40" s="34"/>
      <c r="J40" s="34"/>
      <c r="K40" s="34"/>
      <c r="L40" s="34">
        <v>1</v>
      </c>
      <c r="M40" s="34">
        <v>0</v>
      </c>
    </row>
    <row r="41" spans="1:13">
      <c r="A41" s="23">
        <v>37</v>
      </c>
      <c r="B41" s="131" t="s">
        <v>496</v>
      </c>
      <c r="C41" s="32">
        <v>45926</v>
      </c>
      <c r="D41" s="33"/>
      <c r="E41" s="33"/>
      <c r="F41" s="34">
        <v>5</v>
      </c>
      <c r="G41" s="34">
        <v>5</v>
      </c>
      <c r="H41" s="34"/>
      <c r="I41" s="34"/>
      <c r="J41" s="34"/>
      <c r="K41" s="34"/>
      <c r="L41" s="34">
        <v>0</v>
      </c>
      <c r="M41" s="34">
        <v>1</v>
      </c>
    </row>
    <row r="42" spans="1:13">
      <c r="A42" s="23">
        <v>38</v>
      </c>
      <c r="B42" s="127" t="s">
        <v>497</v>
      </c>
      <c r="C42" s="32">
        <v>45927</v>
      </c>
      <c r="D42" s="33"/>
      <c r="E42" s="33"/>
      <c r="F42" s="34">
        <v>4</v>
      </c>
      <c r="G42" s="34">
        <v>4</v>
      </c>
      <c r="H42" s="34"/>
      <c r="I42" s="34"/>
      <c r="J42" s="34"/>
      <c r="K42" s="34"/>
      <c r="L42" s="34">
        <v>1</v>
      </c>
      <c r="M42" s="34">
        <v>0</v>
      </c>
    </row>
    <row r="43" spans="1:13">
      <c r="A43" s="27">
        <v>39</v>
      </c>
      <c r="B43" s="145" t="s">
        <v>498</v>
      </c>
      <c r="C43" s="178">
        <v>45929</v>
      </c>
      <c r="D43" s="27"/>
      <c r="E43" s="27"/>
      <c r="F43" s="27">
        <v>2</v>
      </c>
      <c r="G43" s="27">
        <v>2</v>
      </c>
      <c r="H43" s="27"/>
      <c r="I43" s="27"/>
      <c r="J43" s="27"/>
      <c r="K43" s="27"/>
      <c r="L43" s="27">
        <v>1</v>
      </c>
      <c r="M43" s="27">
        <v>0</v>
      </c>
    </row>
    <row r="44" spans="1:13">
      <c r="A44" s="103"/>
      <c r="B44" s="104"/>
      <c r="C44" s="104"/>
      <c r="D44" s="104"/>
      <c r="E44" s="105"/>
      <c r="F44" s="179">
        <v>528</v>
      </c>
      <c r="G44" s="153">
        <v>516</v>
      </c>
      <c r="H44" s="107">
        <v>21</v>
      </c>
      <c r="I44" s="153">
        <v>5</v>
      </c>
      <c r="J44" s="153">
        <v>4</v>
      </c>
      <c r="K44" s="153">
        <v>1</v>
      </c>
      <c r="L44" s="153">
        <v>23</v>
      </c>
      <c r="M44" s="153">
        <v>16</v>
      </c>
    </row>
    <row r="45" spans="1:13">
      <c r="A45" s="108"/>
      <c r="B45" s="109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37"/>
    </row>
    <row r="46" spans="1:13" ht="38.25">
      <c r="A46" s="111"/>
      <c r="B46" s="109"/>
      <c r="C46" s="112" t="s">
        <v>91</v>
      </c>
      <c r="D46" s="113" t="s">
        <v>92</v>
      </c>
      <c r="E46" s="112" t="s">
        <v>93</v>
      </c>
      <c r="F46" s="113" t="s">
        <v>94</v>
      </c>
      <c r="G46" s="113" t="s">
        <v>95</v>
      </c>
      <c r="H46" s="113" t="s">
        <v>96</v>
      </c>
      <c r="I46" s="113" t="s">
        <v>97</v>
      </c>
      <c r="J46" s="113" t="s">
        <v>98</v>
      </c>
      <c r="K46" s="112" t="s">
        <v>99</v>
      </c>
      <c r="L46" s="138" t="s">
        <v>100</v>
      </c>
      <c r="M46" s="112" t="s">
        <v>101</v>
      </c>
    </row>
    <row r="47" spans="1:13">
      <c r="A47" s="111"/>
      <c r="B47" s="114"/>
      <c r="C47" s="115">
        <v>18</v>
      </c>
      <c r="D47" s="115">
        <v>30</v>
      </c>
      <c r="E47" s="115">
        <v>540</v>
      </c>
      <c r="F47" s="116">
        <v>528</v>
      </c>
      <c r="G47" s="117">
        <f>F47/E47</f>
        <v>0.97777777777777797</v>
      </c>
      <c r="H47" s="118">
        <f>F44/H44</f>
        <v>25.1428571428571</v>
      </c>
      <c r="I47" s="139">
        <f>I44/(L44+M44)</f>
        <v>0.128205128205128</v>
      </c>
      <c r="J47" s="139">
        <f>J44/I44</f>
        <v>0.8</v>
      </c>
      <c r="K47" s="140">
        <f>K44/(I44)</f>
        <v>0.2</v>
      </c>
      <c r="L47" s="141">
        <f>L44/(L44+M44)</f>
        <v>0.58974358974358998</v>
      </c>
      <c r="M47" s="140">
        <f>M44/(L44+M44)</f>
        <v>0.41025641025641002</v>
      </c>
    </row>
    <row r="50" spans="1:13">
      <c r="B50" t="s">
        <v>344</v>
      </c>
    </row>
    <row r="51" spans="1:13" ht="25.5">
      <c r="A51" s="7" t="s">
        <v>1</v>
      </c>
      <c r="B51" s="10" t="s">
        <v>2</v>
      </c>
      <c r="C51" s="7" t="s">
        <v>3</v>
      </c>
      <c r="D51" s="7" t="s">
        <v>4</v>
      </c>
      <c r="E51" s="8" t="s">
        <v>5</v>
      </c>
      <c r="F51" s="9" t="s">
        <v>6</v>
      </c>
      <c r="G51" s="7" t="s">
        <v>7</v>
      </c>
      <c r="H51" s="10" t="s">
        <v>8</v>
      </c>
      <c r="I51" s="10" t="s">
        <v>9</v>
      </c>
      <c r="J51" s="8" t="s">
        <v>10</v>
      </c>
      <c r="K51" s="134" t="s">
        <v>11</v>
      </c>
      <c r="L51" s="135" t="s">
        <v>12</v>
      </c>
      <c r="M51" s="134" t="s">
        <v>13</v>
      </c>
    </row>
    <row r="52" spans="1:13">
      <c r="A52" s="180">
        <v>1</v>
      </c>
      <c r="B52" s="181" t="s">
        <v>474</v>
      </c>
      <c r="C52" s="182">
        <v>45894</v>
      </c>
      <c r="D52" s="182">
        <v>45913</v>
      </c>
      <c r="E52" s="183" t="s">
        <v>434</v>
      </c>
      <c r="F52" s="184">
        <v>13</v>
      </c>
      <c r="G52" s="184">
        <v>12</v>
      </c>
      <c r="H52" s="184">
        <v>1</v>
      </c>
      <c r="I52" s="184">
        <v>0</v>
      </c>
      <c r="J52" s="184">
        <v>0</v>
      </c>
      <c r="K52" s="184">
        <v>0</v>
      </c>
      <c r="L52" s="184">
        <v>1</v>
      </c>
      <c r="M52" s="184">
        <v>0</v>
      </c>
    </row>
    <row r="53" spans="1:13">
      <c r="A53" s="185">
        <v>2</v>
      </c>
      <c r="B53" s="164" t="s">
        <v>449</v>
      </c>
      <c r="C53" s="186">
        <v>45897</v>
      </c>
      <c r="D53" s="186">
        <v>45914</v>
      </c>
      <c r="E53" s="60" t="s">
        <v>255</v>
      </c>
      <c r="F53" s="61">
        <v>14</v>
      </c>
      <c r="G53" s="61">
        <v>13</v>
      </c>
      <c r="H53" s="61">
        <v>1</v>
      </c>
      <c r="I53" s="61">
        <v>0</v>
      </c>
      <c r="J53" s="61">
        <v>0</v>
      </c>
      <c r="K53" s="61">
        <v>0</v>
      </c>
      <c r="L53" s="61">
        <v>1</v>
      </c>
      <c r="M53" s="61">
        <v>0</v>
      </c>
    </row>
    <row r="54" spans="1:13">
      <c r="A54" s="18">
        <v>3</v>
      </c>
      <c r="B54" s="28" t="s">
        <v>459</v>
      </c>
      <c r="C54" s="19">
        <v>45898</v>
      </c>
      <c r="D54" s="126">
        <v>45924</v>
      </c>
      <c r="E54" s="21" t="s">
        <v>36</v>
      </c>
      <c r="F54" s="22">
        <v>24</v>
      </c>
      <c r="G54" s="22">
        <v>24</v>
      </c>
      <c r="H54" s="22">
        <v>1</v>
      </c>
      <c r="I54" s="22">
        <v>0</v>
      </c>
      <c r="J54" s="22">
        <v>0</v>
      </c>
      <c r="K54" s="22">
        <v>0</v>
      </c>
      <c r="L54" s="22">
        <v>0</v>
      </c>
      <c r="M54" s="22">
        <v>1</v>
      </c>
    </row>
    <row r="55" spans="1:13">
      <c r="A55" s="57">
        <v>4</v>
      </c>
      <c r="B55" s="164" t="s">
        <v>458</v>
      </c>
      <c r="C55" s="187">
        <v>45900</v>
      </c>
      <c r="D55" s="188">
        <v>45904</v>
      </c>
      <c r="E55" s="60" t="s">
        <v>255</v>
      </c>
      <c r="F55" s="189">
        <v>4</v>
      </c>
      <c r="G55" s="189">
        <v>3</v>
      </c>
      <c r="H55" s="189">
        <v>1</v>
      </c>
      <c r="I55" s="189">
        <v>0</v>
      </c>
      <c r="J55" s="189">
        <v>0</v>
      </c>
      <c r="K55" s="189">
        <v>0</v>
      </c>
      <c r="L55" s="189">
        <v>0</v>
      </c>
      <c r="M55" s="189">
        <v>1</v>
      </c>
    </row>
    <row r="56" spans="1:13">
      <c r="A56" s="119">
        <v>5</v>
      </c>
      <c r="B56" s="18" t="s">
        <v>499</v>
      </c>
      <c r="C56" s="55">
        <v>45904</v>
      </c>
      <c r="D56" s="55">
        <v>45911</v>
      </c>
      <c r="E56" s="21" t="s">
        <v>36</v>
      </c>
      <c r="F56" s="31">
        <v>8</v>
      </c>
      <c r="G56" s="31">
        <v>8</v>
      </c>
      <c r="H56" s="31">
        <v>1</v>
      </c>
      <c r="I56" s="31">
        <v>0</v>
      </c>
      <c r="J56" s="31">
        <v>0</v>
      </c>
      <c r="K56" s="31">
        <v>0</v>
      </c>
      <c r="L56" s="31">
        <v>0</v>
      </c>
      <c r="M56" s="31">
        <v>1</v>
      </c>
    </row>
    <row r="57" spans="1:13">
      <c r="A57" s="119">
        <v>6</v>
      </c>
      <c r="B57" s="28" t="s">
        <v>466</v>
      </c>
      <c r="C57" s="55">
        <v>45909</v>
      </c>
      <c r="D57" s="55">
        <v>45911</v>
      </c>
      <c r="E57" s="21" t="s">
        <v>36</v>
      </c>
      <c r="F57" s="31">
        <v>3</v>
      </c>
      <c r="G57" s="31">
        <v>3</v>
      </c>
      <c r="H57" s="31">
        <v>1</v>
      </c>
      <c r="I57" s="31">
        <v>0</v>
      </c>
      <c r="J57" s="31">
        <v>0</v>
      </c>
      <c r="K57" s="31">
        <v>0</v>
      </c>
      <c r="L57" s="31">
        <v>1</v>
      </c>
      <c r="M57" s="31">
        <v>0</v>
      </c>
    </row>
    <row r="58" spans="1:13">
      <c r="A58" s="149">
        <v>7</v>
      </c>
      <c r="B58" s="28" t="s">
        <v>456</v>
      </c>
      <c r="C58" s="151">
        <v>45913</v>
      </c>
      <c r="D58" s="151">
        <v>45916</v>
      </c>
      <c r="E58" s="21" t="s">
        <v>36</v>
      </c>
      <c r="F58" s="85">
        <v>4</v>
      </c>
      <c r="G58" s="85">
        <v>4</v>
      </c>
      <c r="H58" s="85">
        <v>1</v>
      </c>
      <c r="I58" s="85">
        <v>0</v>
      </c>
      <c r="J58" s="85">
        <v>0</v>
      </c>
      <c r="K58" s="85">
        <v>0</v>
      </c>
      <c r="L58" s="85">
        <v>0</v>
      </c>
      <c r="M58" s="85">
        <v>1</v>
      </c>
    </row>
    <row r="59" spans="1:13">
      <c r="A59" s="33">
        <v>8</v>
      </c>
      <c r="B59" s="24" t="s">
        <v>463</v>
      </c>
      <c r="C59" s="152">
        <v>45914</v>
      </c>
      <c r="D59" s="34"/>
      <c r="E59" s="34"/>
      <c r="F59" s="34">
        <v>17</v>
      </c>
      <c r="G59" s="34">
        <v>17</v>
      </c>
      <c r="H59" s="34"/>
      <c r="I59" s="34"/>
      <c r="J59" s="34"/>
      <c r="K59" s="34"/>
      <c r="L59" s="34">
        <v>1</v>
      </c>
      <c r="M59" s="34">
        <v>0</v>
      </c>
    </row>
    <row r="60" spans="1:13">
      <c r="A60" s="190">
        <v>9</v>
      </c>
      <c r="B60" s="164" t="s">
        <v>485</v>
      </c>
      <c r="C60" s="191">
        <v>45916</v>
      </c>
      <c r="D60" s="191">
        <v>45919</v>
      </c>
      <c r="E60" s="60" t="s">
        <v>255</v>
      </c>
      <c r="F60" s="172">
        <v>4</v>
      </c>
      <c r="G60" s="172">
        <v>3</v>
      </c>
      <c r="H60" s="172">
        <v>1</v>
      </c>
      <c r="I60" s="172">
        <v>0</v>
      </c>
      <c r="J60" s="172">
        <v>0</v>
      </c>
      <c r="K60" s="172">
        <v>0</v>
      </c>
      <c r="L60" s="172">
        <v>0</v>
      </c>
      <c r="M60" s="172">
        <v>1</v>
      </c>
    </row>
    <row r="61" spans="1:13">
      <c r="A61" s="119">
        <v>10</v>
      </c>
      <c r="B61" s="28" t="s">
        <v>500</v>
      </c>
      <c r="C61" s="55">
        <v>45917</v>
      </c>
      <c r="D61" s="55">
        <v>45929</v>
      </c>
      <c r="E61" s="21" t="s">
        <v>36</v>
      </c>
      <c r="F61" s="31">
        <v>13</v>
      </c>
      <c r="G61" s="31">
        <v>13</v>
      </c>
      <c r="H61" s="31">
        <v>1</v>
      </c>
      <c r="I61" s="31">
        <v>0</v>
      </c>
      <c r="J61" s="31">
        <v>0</v>
      </c>
      <c r="K61" s="31">
        <v>0</v>
      </c>
      <c r="L61" s="31">
        <v>0</v>
      </c>
      <c r="M61" s="31">
        <v>1</v>
      </c>
    </row>
    <row r="62" spans="1:13">
      <c r="A62" s="119">
        <v>11</v>
      </c>
      <c r="B62" s="28" t="s">
        <v>474</v>
      </c>
      <c r="C62" s="55">
        <v>45921</v>
      </c>
      <c r="D62" s="55">
        <v>45923</v>
      </c>
      <c r="E62" s="21" t="s">
        <v>36</v>
      </c>
      <c r="F62" s="31">
        <v>3</v>
      </c>
      <c r="G62" s="31">
        <v>3</v>
      </c>
      <c r="H62" s="31">
        <v>1</v>
      </c>
      <c r="I62" s="31">
        <v>0</v>
      </c>
      <c r="J62" s="31">
        <v>0</v>
      </c>
      <c r="K62" s="31">
        <v>0</v>
      </c>
      <c r="L62" s="31">
        <v>1</v>
      </c>
      <c r="M62" s="31">
        <v>0</v>
      </c>
    </row>
    <row r="63" spans="1:13">
      <c r="A63" s="119">
        <v>12</v>
      </c>
      <c r="B63" s="28" t="s">
        <v>486</v>
      </c>
      <c r="C63" s="55">
        <v>45923</v>
      </c>
      <c r="D63" s="55">
        <v>45927</v>
      </c>
      <c r="E63" s="21" t="s">
        <v>36</v>
      </c>
      <c r="F63" s="31">
        <v>5</v>
      </c>
      <c r="G63" s="31">
        <v>5</v>
      </c>
      <c r="H63" s="31">
        <v>1</v>
      </c>
      <c r="I63" s="31">
        <v>0</v>
      </c>
      <c r="J63" s="31">
        <v>0</v>
      </c>
      <c r="K63" s="31">
        <v>0</v>
      </c>
      <c r="L63" s="31">
        <v>1</v>
      </c>
      <c r="M63" s="31">
        <v>0</v>
      </c>
    </row>
    <row r="64" spans="1:13">
      <c r="A64" s="119">
        <v>13</v>
      </c>
      <c r="B64" s="18" t="s">
        <v>491</v>
      </c>
      <c r="C64" s="55">
        <v>45924</v>
      </c>
      <c r="D64" s="55">
        <v>45925</v>
      </c>
      <c r="E64" s="21" t="s">
        <v>36</v>
      </c>
      <c r="F64" s="31">
        <v>2</v>
      </c>
      <c r="G64" s="31">
        <v>2</v>
      </c>
      <c r="H64" s="31">
        <v>1</v>
      </c>
      <c r="I64" s="31">
        <v>0</v>
      </c>
      <c r="J64" s="31">
        <v>0</v>
      </c>
      <c r="K64" s="31">
        <v>0</v>
      </c>
      <c r="L64" s="31">
        <v>1</v>
      </c>
      <c r="M64" s="31">
        <v>0</v>
      </c>
    </row>
    <row r="65" spans="1:13">
      <c r="A65" s="193">
        <v>14</v>
      </c>
      <c r="B65" s="93" t="s">
        <v>468</v>
      </c>
      <c r="C65" s="194">
        <v>45926</v>
      </c>
      <c r="D65" s="195"/>
      <c r="E65" s="195"/>
      <c r="F65" s="195">
        <v>5</v>
      </c>
      <c r="G65" s="195">
        <v>5</v>
      </c>
      <c r="H65" s="195"/>
      <c r="I65" s="195"/>
      <c r="J65" s="195"/>
      <c r="K65" s="195"/>
      <c r="L65" s="195">
        <v>1</v>
      </c>
      <c r="M65" s="195">
        <v>0</v>
      </c>
    </row>
    <row r="66" spans="1:13">
      <c r="A66" s="125">
        <v>15</v>
      </c>
      <c r="B66" s="28" t="s">
        <v>462</v>
      </c>
      <c r="C66" s="55">
        <v>45927</v>
      </c>
      <c r="D66" s="126">
        <v>45929</v>
      </c>
      <c r="E66" s="21" t="s">
        <v>36</v>
      </c>
      <c r="F66" s="22">
        <v>3</v>
      </c>
      <c r="G66" s="22">
        <v>3</v>
      </c>
      <c r="H66" s="22">
        <v>1</v>
      </c>
      <c r="I66" s="22">
        <v>0</v>
      </c>
      <c r="J66" s="22">
        <v>0</v>
      </c>
      <c r="K66" s="22">
        <v>0</v>
      </c>
      <c r="L66" s="22">
        <v>0</v>
      </c>
      <c r="M66" s="22">
        <v>1</v>
      </c>
    </row>
    <row r="67" spans="1:13">
      <c r="A67" s="26">
        <v>16</v>
      </c>
      <c r="B67" s="24" t="s">
        <v>492</v>
      </c>
      <c r="C67" s="152">
        <v>45929</v>
      </c>
      <c r="D67" s="27"/>
      <c r="E67" s="27"/>
      <c r="F67" s="27">
        <v>2</v>
      </c>
      <c r="G67" s="27">
        <v>2</v>
      </c>
      <c r="H67" s="27"/>
      <c r="I67" s="27"/>
      <c r="J67" s="27"/>
      <c r="K67" s="27"/>
      <c r="L67" s="27">
        <v>1</v>
      </c>
      <c r="M67" s="27">
        <v>0</v>
      </c>
    </row>
    <row r="68" spans="1:13">
      <c r="A68" s="26">
        <v>17</v>
      </c>
      <c r="B68" s="24" t="s">
        <v>494</v>
      </c>
      <c r="C68" s="152">
        <v>45930</v>
      </c>
      <c r="D68" s="27"/>
      <c r="E68" s="27"/>
      <c r="F68" s="27">
        <v>1</v>
      </c>
      <c r="G68" s="27">
        <v>1</v>
      </c>
      <c r="H68" s="27"/>
      <c r="I68" s="27"/>
      <c r="J68" s="27"/>
      <c r="K68" s="27"/>
      <c r="L68" s="27">
        <v>1</v>
      </c>
      <c r="M68" s="27">
        <v>0</v>
      </c>
    </row>
    <row r="69" spans="1:13">
      <c r="A69" s="103"/>
      <c r="B69" s="104"/>
      <c r="C69" s="104"/>
      <c r="D69" s="104"/>
      <c r="E69" s="105"/>
      <c r="F69" s="196">
        <v>125</v>
      </c>
      <c r="G69" s="153">
        <v>121</v>
      </c>
      <c r="H69" s="107">
        <v>13</v>
      </c>
      <c r="I69" s="153">
        <v>0</v>
      </c>
      <c r="J69" s="153">
        <v>0</v>
      </c>
      <c r="K69" s="153">
        <v>0</v>
      </c>
      <c r="L69" s="153">
        <v>10</v>
      </c>
      <c r="M69" s="153">
        <v>7</v>
      </c>
    </row>
    <row r="70" spans="1:13">
      <c r="A70" s="108"/>
      <c r="B70" s="147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54"/>
    </row>
    <row r="71" spans="1:13" ht="38.25">
      <c r="A71" s="111"/>
      <c r="B71" s="148"/>
      <c r="C71" s="112" t="s">
        <v>91</v>
      </c>
      <c r="D71" s="113" t="s">
        <v>92</v>
      </c>
      <c r="E71" s="112" t="s">
        <v>93</v>
      </c>
      <c r="F71" s="113" t="s">
        <v>94</v>
      </c>
      <c r="G71" s="113" t="s">
        <v>95</v>
      </c>
      <c r="H71" s="113" t="s">
        <v>96</v>
      </c>
      <c r="I71" s="113" t="s">
        <v>97</v>
      </c>
      <c r="J71" s="113" t="s">
        <v>98</v>
      </c>
      <c r="K71" s="112" t="s">
        <v>99</v>
      </c>
      <c r="L71" s="138" t="s">
        <v>100</v>
      </c>
      <c r="M71" s="112" t="s">
        <v>101</v>
      </c>
    </row>
    <row r="72" spans="1:13">
      <c r="A72" s="111"/>
      <c r="B72" s="114"/>
      <c r="C72" s="115">
        <v>4</v>
      </c>
      <c r="D72" s="115">
        <v>30</v>
      </c>
      <c r="E72" s="115">
        <v>120</v>
      </c>
      <c r="F72" s="116">
        <v>125</v>
      </c>
      <c r="G72" s="117">
        <f>F72/E72</f>
        <v>1.0416666666666701</v>
      </c>
      <c r="H72" s="118">
        <f>F69/H69</f>
        <v>9.6153846153846096</v>
      </c>
      <c r="I72" s="139">
        <f>I69/(L69+M69)</f>
        <v>0</v>
      </c>
      <c r="J72" s="139">
        <f>J69/(M69+N35)</f>
        <v>0</v>
      </c>
      <c r="K72" s="139">
        <v>0</v>
      </c>
      <c r="L72" s="141">
        <f>L69/(L69+M69)</f>
        <v>0.58823529411764697</v>
      </c>
      <c r="M72" s="140">
        <f>M69/(L69+M69)</f>
        <v>0.41176470588235298</v>
      </c>
    </row>
    <row r="74" spans="1:13">
      <c r="B74" t="s">
        <v>354</v>
      </c>
    </row>
    <row r="75" spans="1:13" ht="25.5">
      <c r="A75" s="7" t="s">
        <v>1</v>
      </c>
      <c r="B75" s="10" t="s">
        <v>2</v>
      </c>
      <c r="C75" s="7" t="s">
        <v>3</v>
      </c>
      <c r="D75" s="7" t="s">
        <v>4</v>
      </c>
      <c r="E75" s="8" t="s">
        <v>5</v>
      </c>
      <c r="F75" s="9" t="s">
        <v>6</v>
      </c>
      <c r="G75" s="7" t="s">
        <v>7</v>
      </c>
      <c r="H75" s="10" t="s">
        <v>8</v>
      </c>
      <c r="I75" s="10" t="s">
        <v>9</v>
      </c>
      <c r="J75" s="8" t="s">
        <v>10</v>
      </c>
      <c r="K75" s="134" t="s">
        <v>11</v>
      </c>
      <c r="L75" s="135" t="s">
        <v>12</v>
      </c>
      <c r="M75" s="134" t="s">
        <v>13</v>
      </c>
    </row>
    <row r="76" spans="1:13">
      <c r="A76" s="149">
        <v>1</v>
      </c>
      <c r="B76" s="28" t="s">
        <v>426</v>
      </c>
      <c r="C76" s="151">
        <v>45893</v>
      </c>
      <c r="D76" s="151">
        <v>45918</v>
      </c>
      <c r="E76" s="21" t="s">
        <v>36</v>
      </c>
      <c r="F76" s="85">
        <v>18</v>
      </c>
      <c r="G76" s="85">
        <v>18</v>
      </c>
      <c r="H76" s="85">
        <v>1</v>
      </c>
      <c r="I76" s="85">
        <v>0</v>
      </c>
      <c r="J76" s="85">
        <v>0</v>
      </c>
      <c r="K76" s="85">
        <v>0</v>
      </c>
      <c r="L76" s="85">
        <v>0</v>
      </c>
      <c r="M76" s="85">
        <v>1</v>
      </c>
    </row>
    <row r="77" spans="1:13">
      <c r="A77" s="119">
        <v>2</v>
      </c>
      <c r="B77" s="28" t="s">
        <v>421</v>
      </c>
      <c r="C77" s="55">
        <v>45894</v>
      </c>
      <c r="D77" s="55">
        <v>45904</v>
      </c>
      <c r="E77" s="21" t="s">
        <v>36</v>
      </c>
      <c r="F77" s="31">
        <v>4</v>
      </c>
      <c r="G77" s="31">
        <v>4</v>
      </c>
      <c r="H77" s="31">
        <v>1</v>
      </c>
      <c r="I77" s="31">
        <v>0</v>
      </c>
      <c r="J77" s="31">
        <v>0</v>
      </c>
      <c r="K77" s="31">
        <v>0</v>
      </c>
      <c r="L77" s="31">
        <v>0</v>
      </c>
      <c r="M77" s="31">
        <v>1</v>
      </c>
    </row>
    <row r="78" spans="1:13">
      <c r="A78" s="119">
        <v>3</v>
      </c>
      <c r="B78" s="28" t="s">
        <v>454</v>
      </c>
      <c r="C78" s="55">
        <v>45897</v>
      </c>
      <c r="D78" s="55">
        <v>45910</v>
      </c>
      <c r="E78" s="21" t="s">
        <v>36</v>
      </c>
      <c r="F78" s="31">
        <v>10</v>
      </c>
      <c r="G78" s="31">
        <v>10</v>
      </c>
      <c r="H78" s="31">
        <v>1</v>
      </c>
      <c r="I78" s="31">
        <v>0</v>
      </c>
      <c r="J78" s="31">
        <v>0</v>
      </c>
      <c r="K78" s="31">
        <v>0</v>
      </c>
      <c r="L78" s="31">
        <v>0</v>
      </c>
      <c r="M78" s="31">
        <v>1</v>
      </c>
    </row>
    <row r="79" spans="1:13">
      <c r="A79" s="119">
        <v>4</v>
      </c>
      <c r="B79" s="28" t="s">
        <v>458</v>
      </c>
      <c r="C79" s="55">
        <v>45904</v>
      </c>
      <c r="D79" s="55">
        <v>45912</v>
      </c>
      <c r="E79" s="21" t="s">
        <v>36</v>
      </c>
      <c r="F79" s="31">
        <v>9</v>
      </c>
      <c r="G79" s="31">
        <v>9</v>
      </c>
      <c r="H79" s="31">
        <v>1</v>
      </c>
      <c r="I79" s="31">
        <v>0</v>
      </c>
      <c r="J79" s="31">
        <v>0</v>
      </c>
      <c r="K79" s="31">
        <v>0</v>
      </c>
      <c r="L79" s="31">
        <v>0</v>
      </c>
      <c r="M79" s="31">
        <v>1</v>
      </c>
    </row>
    <row r="80" spans="1:13">
      <c r="A80" s="197">
        <v>5</v>
      </c>
      <c r="B80" s="86" t="s">
        <v>463</v>
      </c>
      <c r="C80" s="51">
        <v>45912</v>
      </c>
      <c r="D80" s="51">
        <v>45914</v>
      </c>
      <c r="E80" s="52" t="s">
        <v>250</v>
      </c>
      <c r="F80" s="53">
        <v>3</v>
      </c>
      <c r="G80" s="53">
        <v>2</v>
      </c>
      <c r="H80" s="53">
        <v>1</v>
      </c>
      <c r="I80" s="53">
        <v>0</v>
      </c>
      <c r="J80" s="53">
        <v>0</v>
      </c>
      <c r="K80" s="53">
        <v>0</v>
      </c>
      <c r="L80" s="53">
        <v>1</v>
      </c>
      <c r="M80" s="53">
        <v>0</v>
      </c>
    </row>
    <row r="81" spans="1:13">
      <c r="A81" s="119">
        <v>6</v>
      </c>
      <c r="B81" s="28" t="s">
        <v>455</v>
      </c>
      <c r="C81" s="55">
        <v>45910</v>
      </c>
      <c r="D81" s="55">
        <v>45929</v>
      </c>
      <c r="E81" s="21" t="s">
        <v>36</v>
      </c>
      <c r="F81" s="31">
        <v>20</v>
      </c>
      <c r="G81" s="31">
        <v>20</v>
      </c>
      <c r="H81" s="31">
        <v>1</v>
      </c>
      <c r="I81" s="31">
        <v>0</v>
      </c>
      <c r="J81" s="31">
        <v>0</v>
      </c>
      <c r="K81" s="31">
        <v>0</v>
      </c>
      <c r="L81" s="31">
        <v>1</v>
      </c>
      <c r="M81" s="31">
        <v>0</v>
      </c>
    </row>
    <row r="82" spans="1:13">
      <c r="A82" s="149">
        <v>7</v>
      </c>
      <c r="B82" s="28" t="s">
        <v>449</v>
      </c>
      <c r="C82" s="151">
        <v>45914</v>
      </c>
      <c r="D82" s="151">
        <v>45918</v>
      </c>
      <c r="E82" s="21" t="s">
        <v>36</v>
      </c>
      <c r="F82" s="85">
        <v>5</v>
      </c>
      <c r="G82" s="85">
        <v>5</v>
      </c>
      <c r="H82" s="85">
        <v>1</v>
      </c>
      <c r="I82" s="85">
        <v>0</v>
      </c>
      <c r="J82" s="85">
        <v>0</v>
      </c>
      <c r="K82" s="85">
        <v>0</v>
      </c>
      <c r="L82" s="85">
        <v>1</v>
      </c>
      <c r="M82" s="85">
        <v>0</v>
      </c>
    </row>
    <row r="83" spans="1:13">
      <c r="A83" s="33">
        <v>8</v>
      </c>
      <c r="B83" s="24" t="s">
        <v>485</v>
      </c>
      <c r="C83" s="152">
        <v>45919</v>
      </c>
      <c r="D83" s="34"/>
      <c r="E83" s="34"/>
      <c r="F83" s="34">
        <v>12</v>
      </c>
      <c r="G83" s="34">
        <v>12</v>
      </c>
      <c r="H83" s="34"/>
      <c r="I83" s="34"/>
      <c r="J83" s="34"/>
      <c r="K83" s="34"/>
      <c r="L83" s="34">
        <v>0</v>
      </c>
      <c r="M83" s="34">
        <v>1</v>
      </c>
    </row>
    <row r="84" spans="1:13">
      <c r="A84" s="33">
        <v>9</v>
      </c>
      <c r="B84" s="24" t="s">
        <v>477</v>
      </c>
      <c r="C84" s="198">
        <v>45919</v>
      </c>
      <c r="D84" s="34"/>
      <c r="E84" s="34"/>
      <c r="F84" s="34">
        <v>12</v>
      </c>
      <c r="G84" s="34">
        <v>12</v>
      </c>
      <c r="H84" s="34"/>
      <c r="I84" s="34"/>
      <c r="J84" s="34"/>
      <c r="K84" s="34"/>
      <c r="L84" s="34">
        <v>0</v>
      </c>
      <c r="M84" s="34">
        <v>1</v>
      </c>
    </row>
    <row r="85" spans="1:13">
      <c r="A85" s="103"/>
      <c r="B85" s="104"/>
      <c r="C85" s="104"/>
      <c r="D85" s="104"/>
      <c r="E85" s="105"/>
      <c r="F85" s="196">
        <v>93</v>
      </c>
      <c r="G85" s="153">
        <v>92</v>
      </c>
      <c r="H85" s="107">
        <v>7</v>
      </c>
      <c r="I85" s="153">
        <v>0</v>
      </c>
      <c r="J85" s="153">
        <v>0</v>
      </c>
      <c r="K85" s="153">
        <v>0</v>
      </c>
      <c r="L85" s="153">
        <v>3</v>
      </c>
      <c r="M85" s="153">
        <v>6</v>
      </c>
    </row>
    <row r="86" spans="1:13">
      <c r="A86" s="108"/>
      <c r="B86" s="147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54"/>
    </row>
    <row r="87" spans="1:13" ht="38.25">
      <c r="A87" s="111"/>
      <c r="B87" s="148"/>
      <c r="C87" s="112" t="s">
        <v>91</v>
      </c>
      <c r="D87" s="113" t="s">
        <v>92</v>
      </c>
      <c r="E87" s="112" t="s">
        <v>93</v>
      </c>
      <c r="F87" s="113" t="s">
        <v>94</v>
      </c>
      <c r="G87" s="113" t="s">
        <v>95</v>
      </c>
      <c r="H87" s="113" t="s">
        <v>96</v>
      </c>
      <c r="I87" s="113" t="s">
        <v>97</v>
      </c>
      <c r="J87" s="113" t="s">
        <v>98</v>
      </c>
      <c r="K87" s="112" t="s">
        <v>99</v>
      </c>
      <c r="L87" s="138" t="s">
        <v>100</v>
      </c>
      <c r="M87" s="112" t="s">
        <v>101</v>
      </c>
    </row>
    <row r="88" spans="1:13">
      <c r="A88" s="111"/>
      <c r="B88" s="114"/>
      <c r="C88" s="115">
        <v>3</v>
      </c>
      <c r="D88" s="115">
        <v>30</v>
      </c>
      <c r="E88" s="115">
        <v>90</v>
      </c>
      <c r="F88" s="116">
        <v>93</v>
      </c>
      <c r="G88" s="117">
        <f>F88/E88</f>
        <v>1.0333333333333301</v>
      </c>
      <c r="H88" s="118">
        <f>F85/H85</f>
        <v>13.285714285714301</v>
      </c>
      <c r="I88" s="139">
        <f>I85/(L85+M85)</f>
        <v>0</v>
      </c>
      <c r="J88" s="139">
        <v>0</v>
      </c>
      <c r="K88" s="140">
        <v>0</v>
      </c>
      <c r="L88" s="141">
        <f>L85/(L85+M85)</f>
        <v>0.33333333333333298</v>
      </c>
      <c r="M88" s="140">
        <f>M85/(L85+M85)</f>
        <v>0.66666666666666696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83"/>
  <sheetViews>
    <sheetView topLeftCell="A9" workbookViewId="0">
      <selection activeCell="E38" sqref="E38"/>
    </sheetView>
  </sheetViews>
  <sheetFormatPr defaultColWidth="9" defaultRowHeight="15"/>
  <cols>
    <col min="1" max="1" width="4.140625" customWidth="1"/>
    <col min="2" max="2" width="36.140625" customWidth="1"/>
    <col min="3" max="3" width="13.5703125" customWidth="1"/>
    <col min="4" max="4" width="11.140625" customWidth="1"/>
    <col min="5" max="5" width="15.140625" customWidth="1"/>
  </cols>
  <sheetData>
    <row r="1" spans="1:13">
      <c r="A1" s="666" t="s">
        <v>501</v>
      </c>
      <c r="B1" s="666"/>
      <c r="C1" s="666"/>
      <c r="D1" s="666"/>
      <c r="E1" s="666"/>
      <c r="F1" s="666"/>
      <c r="G1" s="1">
        <v>45931</v>
      </c>
      <c r="H1" s="2"/>
      <c r="I1" s="2"/>
      <c r="J1" s="2"/>
      <c r="K1" s="2"/>
      <c r="L1" s="2"/>
      <c r="M1" s="2"/>
    </row>
    <row r="3" spans="1:13">
      <c r="B3" s="3" t="s">
        <v>246</v>
      </c>
    </row>
    <row r="4" spans="1:13" ht="25.5">
      <c r="A4" s="4" t="s">
        <v>1</v>
      </c>
      <c r="B4" s="5" t="s">
        <v>2</v>
      </c>
      <c r="C4" s="6" t="s">
        <v>3</v>
      </c>
      <c r="D4" s="7" t="s">
        <v>4</v>
      </c>
      <c r="E4" s="8" t="s">
        <v>5</v>
      </c>
      <c r="F4" s="9" t="s">
        <v>6</v>
      </c>
      <c r="G4" s="7" t="s">
        <v>7</v>
      </c>
      <c r="H4" s="10" t="s">
        <v>8</v>
      </c>
      <c r="I4" s="10" t="s">
        <v>9</v>
      </c>
      <c r="J4" s="8" t="s">
        <v>10</v>
      </c>
      <c r="K4" s="134" t="s">
        <v>11</v>
      </c>
      <c r="L4" s="135" t="s">
        <v>12</v>
      </c>
      <c r="M4" s="134" t="s">
        <v>13</v>
      </c>
    </row>
    <row r="5" spans="1:13">
      <c r="A5" s="11">
        <v>1</v>
      </c>
      <c r="B5" s="12" t="s">
        <v>438</v>
      </c>
      <c r="C5" s="13">
        <v>45856</v>
      </c>
      <c r="D5" s="14">
        <v>45949</v>
      </c>
      <c r="E5" s="15" t="s">
        <v>431</v>
      </c>
      <c r="F5" s="16">
        <v>19</v>
      </c>
      <c r="G5" s="16">
        <v>18</v>
      </c>
      <c r="H5" s="16">
        <v>1</v>
      </c>
      <c r="I5" s="16">
        <v>0</v>
      </c>
      <c r="J5" s="16">
        <v>0</v>
      </c>
      <c r="K5" s="16">
        <v>0</v>
      </c>
      <c r="L5" s="16">
        <v>0</v>
      </c>
      <c r="M5" s="16">
        <v>1</v>
      </c>
    </row>
    <row r="6" spans="1:13">
      <c r="A6" s="17">
        <v>2</v>
      </c>
      <c r="B6" s="18" t="s">
        <v>441</v>
      </c>
      <c r="C6" s="19">
        <v>45870</v>
      </c>
      <c r="D6" s="20">
        <v>45934</v>
      </c>
      <c r="E6" s="21" t="s">
        <v>36</v>
      </c>
      <c r="F6" s="22">
        <v>4</v>
      </c>
      <c r="G6" s="22">
        <v>3</v>
      </c>
      <c r="H6" s="22">
        <v>1</v>
      </c>
      <c r="I6" s="22">
        <v>0</v>
      </c>
      <c r="J6" s="22">
        <v>0</v>
      </c>
      <c r="K6" s="22">
        <v>0</v>
      </c>
      <c r="L6" s="22">
        <v>0</v>
      </c>
      <c r="M6" s="22">
        <v>1</v>
      </c>
    </row>
    <row r="7" spans="1:13">
      <c r="A7" s="23">
        <v>3</v>
      </c>
      <c r="B7" s="24" t="s">
        <v>442</v>
      </c>
      <c r="C7" s="25">
        <v>45875</v>
      </c>
      <c r="D7" s="26"/>
      <c r="E7" s="26"/>
      <c r="F7" s="27">
        <v>31</v>
      </c>
      <c r="G7" s="27">
        <v>30</v>
      </c>
      <c r="H7" s="27"/>
      <c r="I7" s="27"/>
      <c r="J7" s="27"/>
      <c r="K7" s="27"/>
      <c r="L7" s="27">
        <v>1</v>
      </c>
      <c r="M7" s="27">
        <v>0</v>
      </c>
    </row>
    <row r="8" spans="1:13">
      <c r="A8" s="17">
        <v>4</v>
      </c>
      <c r="B8" s="28" t="s">
        <v>464</v>
      </c>
      <c r="C8" s="29">
        <v>45897</v>
      </c>
      <c r="D8" s="30">
        <v>45933</v>
      </c>
      <c r="E8" s="21" t="s">
        <v>36</v>
      </c>
      <c r="F8" s="31">
        <v>3</v>
      </c>
      <c r="G8" s="31">
        <v>2</v>
      </c>
      <c r="H8" s="31">
        <v>1</v>
      </c>
      <c r="I8" s="31">
        <v>0</v>
      </c>
      <c r="J8" s="31">
        <v>0</v>
      </c>
      <c r="K8" s="31">
        <v>0</v>
      </c>
      <c r="L8" s="31">
        <v>0</v>
      </c>
      <c r="M8" s="31">
        <v>1</v>
      </c>
    </row>
    <row r="9" spans="1:13">
      <c r="A9" s="23">
        <v>5</v>
      </c>
      <c r="B9" s="24" t="s">
        <v>478</v>
      </c>
      <c r="C9" s="32">
        <v>45900</v>
      </c>
      <c r="D9" s="33"/>
      <c r="E9" s="33"/>
      <c r="F9" s="34">
        <v>31</v>
      </c>
      <c r="G9" s="34">
        <v>30</v>
      </c>
      <c r="H9" s="34"/>
      <c r="I9" s="34"/>
      <c r="J9" s="34"/>
      <c r="K9" s="34"/>
      <c r="L9" s="34">
        <v>1</v>
      </c>
      <c r="M9" s="34">
        <v>0</v>
      </c>
    </row>
    <row r="10" spans="1:13">
      <c r="A10" s="35">
        <v>6</v>
      </c>
      <c r="B10" s="24" t="s">
        <v>479</v>
      </c>
      <c r="C10" s="32">
        <v>45904</v>
      </c>
      <c r="D10" s="34"/>
      <c r="E10" s="34"/>
      <c r="F10" s="34">
        <v>31</v>
      </c>
      <c r="G10" s="34">
        <v>30</v>
      </c>
      <c r="H10" s="34"/>
      <c r="I10" s="34"/>
      <c r="J10" s="34"/>
      <c r="K10" s="34"/>
      <c r="L10" s="34">
        <v>0</v>
      </c>
      <c r="M10" s="34">
        <v>1</v>
      </c>
    </row>
    <row r="11" spans="1:13">
      <c r="A11" s="36">
        <v>7</v>
      </c>
      <c r="B11" s="37" t="s">
        <v>483</v>
      </c>
      <c r="C11" s="38">
        <v>45915</v>
      </c>
      <c r="D11" s="39">
        <v>45946</v>
      </c>
      <c r="E11" s="40" t="s">
        <v>17</v>
      </c>
      <c r="F11" s="41">
        <v>16</v>
      </c>
      <c r="G11" s="41">
        <v>16</v>
      </c>
      <c r="H11" s="41">
        <v>1</v>
      </c>
      <c r="I11" s="41">
        <v>1</v>
      </c>
      <c r="J11" s="41">
        <v>1</v>
      </c>
      <c r="K11" s="41">
        <v>0</v>
      </c>
      <c r="L11" s="41">
        <v>1</v>
      </c>
      <c r="M11" s="41">
        <v>0</v>
      </c>
    </row>
    <row r="12" spans="1:13">
      <c r="A12" s="42">
        <v>8</v>
      </c>
      <c r="B12" s="43" t="s">
        <v>484</v>
      </c>
      <c r="C12" s="44">
        <v>45911</v>
      </c>
      <c r="D12" s="45">
        <v>45940</v>
      </c>
      <c r="E12" s="46" t="s">
        <v>17</v>
      </c>
      <c r="F12" s="47">
        <v>10</v>
      </c>
      <c r="G12" s="47">
        <v>10</v>
      </c>
      <c r="H12" s="47">
        <v>1</v>
      </c>
      <c r="I12" s="47">
        <v>1</v>
      </c>
      <c r="J12" s="47">
        <v>1</v>
      </c>
      <c r="K12" s="47">
        <v>0</v>
      </c>
      <c r="L12" s="47">
        <v>1</v>
      </c>
      <c r="M12" s="47">
        <v>0</v>
      </c>
    </row>
    <row r="13" spans="1:13">
      <c r="A13" s="48">
        <v>9</v>
      </c>
      <c r="B13" s="49" t="s">
        <v>487</v>
      </c>
      <c r="C13" s="50">
        <v>45920</v>
      </c>
      <c r="D13" s="51">
        <v>45937</v>
      </c>
      <c r="E13" s="52" t="s">
        <v>250</v>
      </c>
      <c r="F13" s="53">
        <v>7</v>
      </c>
      <c r="G13" s="53">
        <v>6</v>
      </c>
      <c r="H13" s="53">
        <v>1</v>
      </c>
      <c r="I13" s="53">
        <v>0</v>
      </c>
      <c r="J13" s="53">
        <v>0</v>
      </c>
      <c r="K13" s="53">
        <v>0</v>
      </c>
      <c r="L13" s="53">
        <v>1</v>
      </c>
      <c r="M13" s="53">
        <v>0</v>
      </c>
    </row>
    <row r="14" spans="1:13">
      <c r="A14" s="54">
        <v>10</v>
      </c>
      <c r="B14" s="18" t="s">
        <v>488</v>
      </c>
      <c r="C14" s="29">
        <v>45921</v>
      </c>
      <c r="D14" s="55">
        <v>45932</v>
      </c>
      <c r="E14" s="21" t="s">
        <v>36</v>
      </c>
      <c r="F14" s="31">
        <v>2</v>
      </c>
      <c r="G14" s="31">
        <v>1</v>
      </c>
      <c r="H14" s="31">
        <v>1</v>
      </c>
      <c r="I14" s="31">
        <v>0</v>
      </c>
      <c r="J14" s="31">
        <v>0</v>
      </c>
      <c r="K14" s="31">
        <v>0</v>
      </c>
      <c r="L14" s="31">
        <v>0</v>
      </c>
      <c r="M14" s="31">
        <v>1</v>
      </c>
    </row>
    <row r="15" spans="1:13">
      <c r="A15" s="54">
        <v>11</v>
      </c>
      <c r="B15" s="18" t="s">
        <v>489</v>
      </c>
      <c r="C15" s="29">
        <v>45917</v>
      </c>
      <c r="D15" s="55">
        <v>45938</v>
      </c>
      <c r="E15" s="21" t="s">
        <v>36</v>
      </c>
      <c r="F15" s="31">
        <v>8</v>
      </c>
      <c r="G15" s="31">
        <v>7</v>
      </c>
      <c r="H15" s="31">
        <v>1</v>
      </c>
      <c r="I15" s="31">
        <v>0</v>
      </c>
      <c r="J15" s="31">
        <v>0</v>
      </c>
      <c r="K15" s="31">
        <v>0</v>
      </c>
      <c r="L15" s="31">
        <v>1</v>
      </c>
      <c r="M15" s="31">
        <v>0</v>
      </c>
    </row>
    <row r="16" spans="1:13">
      <c r="A16" s="56">
        <v>12</v>
      </c>
      <c r="B16" s="57" t="s">
        <v>490</v>
      </c>
      <c r="C16" s="58">
        <v>45917</v>
      </c>
      <c r="D16" s="59">
        <v>45931</v>
      </c>
      <c r="E16" s="60" t="s">
        <v>255</v>
      </c>
      <c r="F16" s="61">
        <v>1</v>
      </c>
      <c r="G16" s="61">
        <v>0</v>
      </c>
      <c r="H16" s="61">
        <v>1</v>
      </c>
      <c r="I16" s="61"/>
      <c r="J16" s="61"/>
      <c r="K16" s="61"/>
      <c r="L16" s="61">
        <v>1</v>
      </c>
      <c r="M16" s="61">
        <v>0</v>
      </c>
    </row>
    <row r="17" spans="1:13">
      <c r="A17" s="62">
        <v>13</v>
      </c>
      <c r="B17" s="63" t="s">
        <v>493</v>
      </c>
      <c r="C17" s="64">
        <v>45923</v>
      </c>
      <c r="D17" s="65">
        <v>45931</v>
      </c>
      <c r="E17" s="46" t="s">
        <v>17</v>
      </c>
      <c r="F17" s="47">
        <v>1</v>
      </c>
      <c r="G17" s="47">
        <v>1</v>
      </c>
      <c r="H17" s="47">
        <v>1</v>
      </c>
      <c r="I17" s="47">
        <v>1</v>
      </c>
      <c r="J17" s="47">
        <v>1</v>
      </c>
      <c r="K17" s="47">
        <v>0</v>
      </c>
      <c r="L17" s="47">
        <v>0</v>
      </c>
      <c r="M17" s="47">
        <v>1</v>
      </c>
    </row>
    <row r="18" spans="1:13">
      <c r="A18" s="66">
        <v>14</v>
      </c>
      <c r="B18" s="67" t="s">
        <v>495</v>
      </c>
      <c r="C18" s="50">
        <v>45924</v>
      </c>
      <c r="D18" s="68">
        <v>45946</v>
      </c>
      <c r="E18" s="52" t="s">
        <v>250</v>
      </c>
      <c r="F18" s="53">
        <v>16</v>
      </c>
      <c r="G18" s="53">
        <v>15</v>
      </c>
      <c r="H18" s="53">
        <v>1</v>
      </c>
      <c r="I18" s="53">
        <v>0</v>
      </c>
      <c r="J18" s="53">
        <v>0</v>
      </c>
      <c r="K18" s="53">
        <v>0</v>
      </c>
      <c r="L18" s="53">
        <v>1</v>
      </c>
      <c r="M18" s="53">
        <v>0</v>
      </c>
    </row>
    <row r="19" spans="1:13">
      <c r="A19" s="66">
        <v>15</v>
      </c>
      <c r="B19" s="49" t="s">
        <v>496</v>
      </c>
      <c r="C19" s="50">
        <v>45926</v>
      </c>
      <c r="D19" s="68">
        <v>45938</v>
      </c>
      <c r="E19" s="52" t="s">
        <v>250</v>
      </c>
      <c r="F19" s="53">
        <v>8</v>
      </c>
      <c r="G19" s="53">
        <v>7</v>
      </c>
      <c r="H19" s="53">
        <v>1</v>
      </c>
      <c r="I19" s="53">
        <v>0</v>
      </c>
      <c r="J19" s="53">
        <v>0</v>
      </c>
      <c r="K19" s="53">
        <v>0</v>
      </c>
      <c r="L19" s="53">
        <v>0</v>
      </c>
      <c r="M19" s="53">
        <v>1</v>
      </c>
    </row>
    <row r="20" spans="1:13">
      <c r="A20" s="56">
        <v>16</v>
      </c>
      <c r="B20" s="57" t="s">
        <v>497</v>
      </c>
      <c r="C20" s="58">
        <v>45927</v>
      </c>
      <c r="D20" s="59">
        <v>45944</v>
      </c>
      <c r="E20" s="60" t="s">
        <v>255</v>
      </c>
      <c r="F20" s="61">
        <v>14</v>
      </c>
      <c r="G20" s="61">
        <v>13</v>
      </c>
      <c r="H20" s="61">
        <v>1</v>
      </c>
      <c r="I20" s="61">
        <v>0</v>
      </c>
      <c r="J20" s="61">
        <v>0</v>
      </c>
      <c r="K20" s="61">
        <v>0</v>
      </c>
      <c r="L20" s="61">
        <v>1</v>
      </c>
      <c r="M20" s="61">
        <v>0</v>
      </c>
    </row>
    <row r="21" spans="1:13">
      <c r="A21" s="42">
        <v>17</v>
      </c>
      <c r="B21" s="69" t="s">
        <v>498</v>
      </c>
      <c r="C21" s="70">
        <v>45929</v>
      </c>
      <c r="D21" s="71">
        <v>45936</v>
      </c>
      <c r="E21" s="46" t="s">
        <v>17</v>
      </c>
      <c r="F21" s="72">
        <v>6</v>
      </c>
      <c r="G21" s="72">
        <v>6</v>
      </c>
      <c r="H21" s="72">
        <v>1</v>
      </c>
      <c r="I21" s="72">
        <v>1</v>
      </c>
      <c r="J21" s="72">
        <v>1</v>
      </c>
      <c r="K21" s="72">
        <v>0</v>
      </c>
      <c r="L21" s="72">
        <v>1</v>
      </c>
      <c r="M21" s="72">
        <v>0</v>
      </c>
    </row>
    <row r="22" spans="1:13">
      <c r="A22" s="73">
        <v>18</v>
      </c>
      <c r="B22" s="74" t="s">
        <v>502</v>
      </c>
      <c r="C22" s="75">
        <v>45931</v>
      </c>
      <c r="D22" s="76">
        <v>45945</v>
      </c>
      <c r="E22" s="15" t="s">
        <v>431</v>
      </c>
      <c r="F22" s="77">
        <v>15</v>
      </c>
      <c r="G22" s="77">
        <v>14</v>
      </c>
      <c r="H22" s="77">
        <v>1</v>
      </c>
      <c r="I22" s="77">
        <v>0</v>
      </c>
      <c r="J22" s="77">
        <v>0</v>
      </c>
      <c r="K22" s="77">
        <v>0</v>
      </c>
      <c r="L22" s="77">
        <v>0</v>
      </c>
      <c r="M22" s="77">
        <v>1</v>
      </c>
    </row>
    <row r="23" spans="1:13">
      <c r="A23" s="67">
        <v>19</v>
      </c>
      <c r="B23" s="78" t="s">
        <v>503</v>
      </c>
      <c r="C23" s="79">
        <v>45935</v>
      </c>
      <c r="D23" s="51">
        <v>45945</v>
      </c>
      <c r="E23" s="52" t="s">
        <v>250</v>
      </c>
      <c r="F23" s="53">
        <v>11</v>
      </c>
      <c r="G23" s="53">
        <v>10</v>
      </c>
      <c r="H23" s="53">
        <v>1</v>
      </c>
      <c r="I23" s="53">
        <v>0</v>
      </c>
      <c r="J23" s="53">
        <v>0</v>
      </c>
      <c r="K23" s="53">
        <v>0</v>
      </c>
      <c r="L23" s="53">
        <v>0</v>
      </c>
      <c r="M23" s="53">
        <v>1</v>
      </c>
    </row>
    <row r="24" spans="1:13">
      <c r="A24" s="80">
        <v>20</v>
      </c>
      <c r="B24" s="81" t="s">
        <v>504</v>
      </c>
      <c r="C24" s="25">
        <v>45935</v>
      </c>
      <c r="D24" s="34"/>
      <c r="E24" s="34"/>
      <c r="F24" s="34">
        <v>27</v>
      </c>
      <c r="G24" s="34">
        <v>27</v>
      </c>
      <c r="H24" s="34"/>
      <c r="I24" s="34"/>
      <c r="J24" s="34"/>
      <c r="K24" s="34"/>
      <c r="L24" s="34">
        <v>0</v>
      </c>
      <c r="M24" s="34">
        <v>1</v>
      </c>
    </row>
    <row r="25" spans="1:13">
      <c r="A25" s="28">
        <v>21</v>
      </c>
      <c r="B25" s="82" t="s">
        <v>505</v>
      </c>
      <c r="C25" s="83">
        <v>45935</v>
      </c>
      <c r="D25" s="84">
        <v>45961</v>
      </c>
      <c r="E25" s="21" t="s">
        <v>36</v>
      </c>
      <c r="F25" s="85">
        <v>27</v>
      </c>
      <c r="G25" s="85">
        <v>26</v>
      </c>
      <c r="H25" s="85">
        <v>1</v>
      </c>
      <c r="I25" s="85">
        <v>0</v>
      </c>
      <c r="J25" s="85">
        <v>0</v>
      </c>
      <c r="K25" s="85">
        <v>0</v>
      </c>
      <c r="L25" s="85">
        <v>1</v>
      </c>
      <c r="M25" s="85">
        <v>0</v>
      </c>
    </row>
    <row r="26" spans="1:13">
      <c r="A26" s="86">
        <v>22</v>
      </c>
      <c r="B26" s="87" t="s">
        <v>506</v>
      </c>
      <c r="C26" s="88">
        <v>45936</v>
      </c>
      <c r="D26" s="89">
        <v>45947</v>
      </c>
      <c r="E26" s="52" t="s">
        <v>250</v>
      </c>
      <c r="F26" s="90">
        <v>12</v>
      </c>
      <c r="G26" s="90">
        <v>11</v>
      </c>
      <c r="H26" s="90">
        <v>1</v>
      </c>
      <c r="I26" s="90">
        <v>0</v>
      </c>
      <c r="J26" s="90">
        <v>0</v>
      </c>
      <c r="K26" s="90">
        <v>0</v>
      </c>
      <c r="L26" s="90">
        <v>0</v>
      </c>
      <c r="M26" s="90">
        <v>1</v>
      </c>
    </row>
    <row r="27" spans="1:13">
      <c r="A27" s="67">
        <v>23</v>
      </c>
      <c r="B27" s="87" t="s">
        <v>507</v>
      </c>
      <c r="C27" s="79">
        <v>45936</v>
      </c>
      <c r="D27" s="51">
        <v>45938</v>
      </c>
      <c r="E27" s="52" t="s">
        <v>250</v>
      </c>
      <c r="F27" s="53">
        <v>3</v>
      </c>
      <c r="G27" s="53">
        <v>2</v>
      </c>
      <c r="H27" s="53">
        <v>1</v>
      </c>
      <c r="I27" s="53">
        <v>0</v>
      </c>
      <c r="J27" s="53">
        <v>0</v>
      </c>
      <c r="K27" s="53">
        <v>0</v>
      </c>
      <c r="L27" s="53">
        <v>1</v>
      </c>
      <c r="M27" s="53">
        <v>0</v>
      </c>
    </row>
    <row r="28" spans="1:13">
      <c r="A28" s="67">
        <v>24</v>
      </c>
      <c r="B28" s="86" t="s">
        <v>508</v>
      </c>
      <c r="C28" s="79">
        <v>45937</v>
      </c>
      <c r="D28" s="51">
        <v>45940</v>
      </c>
      <c r="E28" s="52" t="s">
        <v>250</v>
      </c>
      <c r="F28" s="53">
        <v>4</v>
      </c>
      <c r="G28" s="53">
        <v>3</v>
      </c>
      <c r="H28" s="53">
        <v>1</v>
      </c>
      <c r="I28" s="53">
        <v>0</v>
      </c>
      <c r="J28" s="53">
        <v>0</v>
      </c>
      <c r="K28" s="53">
        <v>0</v>
      </c>
      <c r="L28" s="53">
        <v>1</v>
      </c>
      <c r="M28" s="53">
        <v>0</v>
      </c>
    </row>
    <row r="29" spans="1:13">
      <c r="A29" s="80">
        <v>25</v>
      </c>
      <c r="B29" s="81" t="s">
        <v>509</v>
      </c>
      <c r="C29" s="25">
        <v>45941</v>
      </c>
      <c r="D29" s="34"/>
      <c r="E29" s="34"/>
      <c r="F29" s="34">
        <v>21</v>
      </c>
      <c r="G29" s="34">
        <v>21</v>
      </c>
      <c r="H29" s="34"/>
      <c r="I29" s="34"/>
      <c r="J29" s="34"/>
      <c r="K29" s="34"/>
      <c r="L29" s="34">
        <v>1</v>
      </c>
      <c r="M29" s="34">
        <v>0</v>
      </c>
    </row>
    <row r="30" spans="1:13">
      <c r="A30" s="80">
        <v>26</v>
      </c>
      <c r="B30" s="81" t="s">
        <v>510</v>
      </c>
      <c r="C30" s="25">
        <v>45945</v>
      </c>
      <c r="D30" s="34"/>
      <c r="E30" s="34"/>
      <c r="F30" s="34">
        <v>17</v>
      </c>
      <c r="G30" s="34">
        <v>17</v>
      </c>
      <c r="H30" s="34"/>
      <c r="I30" s="34"/>
      <c r="J30" s="34"/>
      <c r="K30" s="34"/>
      <c r="L30" s="34">
        <v>1</v>
      </c>
      <c r="M30" s="34">
        <v>0</v>
      </c>
    </row>
    <row r="31" spans="1:13">
      <c r="A31" s="37">
        <v>27</v>
      </c>
      <c r="B31" s="91" t="s">
        <v>511</v>
      </c>
      <c r="C31" s="92">
        <v>45940</v>
      </c>
      <c r="D31" s="39">
        <v>45956</v>
      </c>
      <c r="E31" s="40" t="s">
        <v>17</v>
      </c>
      <c r="F31" s="41">
        <v>17</v>
      </c>
      <c r="G31" s="41">
        <v>17</v>
      </c>
      <c r="H31" s="41">
        <v>1</v>
      </c>
      <c r="I31" s="41">
        <v>1</v>
      </c>
      <c r="J31" s="41">
        <v>1</v>
      </c>
      <c r="K31" s="41">
        <v>0</v>
      </c>
      <c r="L31" s="41">
        <v>1</v>
      </c>
      <c r="M31" s="41">
        <v>0</v>
      </c>
    </row>
    <row r="32" spans="1:13">
      <c r="A32" s="80">
        <v>28</v>
      </c>
      <c r="B32" s="81" t="s">
        <v>512</v>
      </c>
      <c r="C32" s="25">
        <v>45940</v>
      </c>
      <c r="D32" s="34"/>
      <c r="E32" s="34"/>
      <c r="F32" s="34">
        <v>22</v>
      </c>
      <c r="G32" s="34">
        <v>22</v>
      </c>
      <c r="H32" s="34"/>
      <c r="I32" s="34"/>
      <c r="J32" s="34"/>
      <c r="K32" s="34"/>
      <c r="L32" s="34">
        <v>1</v>
      </c>
      <c r="M32" s="34">
        <v>0</v>
      </c>
    </row>
    <row r="33" spans="1:13">
      <c r="A33" s="80">
        <v>29</v>
      </c>
      <c r="B33" s="81" t="s">
        <v>513</v>
      </c>
      <c r="C33" s="25">
        <v>45940</v>
      </c>
      <c r="D33" s="34"/>
      <c r="E33" s="34"/>
      <c r="F33" s="34">
        <v>22</v>
      </c>
      <c r="G33" s="34">
        <v>22</v>
      </c>
      <c r="H33" s="34"/>
      <c r="I33" s="34"/>
      <c r="J33" s="34"/>
      <c r="K33" s="34"/>
      <c r="L33" s="34">
        <v>1</v>
      </c>
      <c r="M33" s="34">
        <v>0</v>
      </c>
    </row>
    <row r="34" spans="1:13">
      <c r="A34" s="37">
        <v>30</v>
      </c>
      <c r="B34" s="91" t="s">
        <v>514</v>
      </c>
      <c r="C34" s="92">
        <v>45945</v>
      </c>
      <c r="D34" s="39">
        <v>45950</v>
      </c>
      <c r="E34" s="40" t="s">
        <v>17</v>
      </c>
      <c r="F34" s="41">
        <v>6</v>
      </c>
      <c r="G34" s="41">
        <v>6</v>
      </c>
      <c r="H34" s="41">
        <v>1</v>
      </c>
      <c r="I34" s="41">
        <v>1</v>
      </c>
      <c r="J34" s="41">
        <v>1</v>
      </c>
      <c r="K34" s="41">
        <v>0</v>
      </c>
      <c r="L34" s="41">
        <v>0</v>
      </c>
      <c r="M34" s="41">
        <v>1</v>
      </c>
    </row>
    <row r="35" spans="1:13">
      <c r="A35" s="80">
        <v>31</v>
      </c>
      <c r="B35" s="93" t="s">
        <v>515</v>
      </c>
      <c r="C35" s="25">
        <v>45946</v>
      </c>
      <c r="D35" s="34"/>
      <c r="E35" s="34"/>
      <c r="F35" s="34">
        <v>16</v>
      </c>
      <c r="G35" s="34">
        <v>16</v>
      </c>
      <c r="H35" s="34"/>
      <c r="I35" s="34"/>
      <c r="J35" s="34"/>
      <c r="K35" s="34"/>
      <c r="L35" s="34">
        <v>1</v>
      </c>
      <c r="M35" s="34">
        <v>0</v>
      </c>
    </row>
    <row r="36" spans="1:13">
      <c r="A36" s="12">
        <v>32</v>
      </c>
      <c r="B36" s="94" t="s">
        <v>516</v>
      </c>
      <c r="C36" s="75">
        <v>45938</v>
      </c>
      <c r="D36" s="76">
        <v>45948</v>
      </c>
      <c r="E36" s="15" t="s">
        <v>431</v>
      </c>
      <c r="F36" s="77">
        <v>11</v>
      </c>
      <c r="G36" s="77">
        <v>10</v>
      </c>
      <c r="H36" s="77">
        <v>1</v>
      </c>
      <c r="I36" s="77">
        <v>0</v>
      </c>
      <c r="J36" s="77">
        <v>0</v>
      </c>
      <c r="K36" s="77">
        <v>0</v>
      </c>
      <c r="L36" s="77">
        <v>0</v>
      </c>
      <c r="M36" s="77">
        <v>1</v>
      </c>
    </row>
    <row r="37" spans="1:13">
      <c r="A37" s="86">
        <v>33</v>
      </c>
      <c r="B37" s="87" t="s">
        <v>517</v>
      </c>
      <c r="C37" s="88">
        <v>45938</v>
      </c>
      <c r="D37" s="89">
        <v>45949</v>
      </c>
      <c r="E37" s="52" t="s">
        <v>250</v>
      </c>
      <c r="F37" s="90">
        <v>12</v>
      </c>
      <c r="G37" s="90">
        <v>11</v>
      </c>
      <c r="H37" s="90">
        <v>1</v>
      </c>
      <c r="I37" s="90">
        <v>0</v>
      </c>
      <c r="J37" s="90">
        <v>0</v>
      </c>
      <c r="K37" s="90">
        <v>0</v>
      </c>
      <c r="L37" s="90">
        <v>0</v>
      </c>
      <c r="M37" s="90">
        <v>1</v>
      </c>
    </row>
    <row r="38" spans="1:13">
      <c r="A38" s="95">
        <v>34</v>
      </c>
      <c r="B38" s="94" t="s">
        <v>518</v>
      </c>
      <c r="C38" s="13">
        <v>45938</v>
      </c>
      <c r="D38" s="96">
        <v>45948</v>
      </c>
      <c r="E38" s="15" t="s">
        <v>431</v>
      </c>
      <c r="F38" s="16">
        <v>11</v>
      </c>
      <c r="G38" s="16">
        <v>10</v>
      </c>
      <c r="H38" s="16">
        <v>1</v>
      </c>
      <c r="I38" s="16">
        <v>0</v>
      </c>
      <c r="J38" s="16">
        <v>0</v>
      </c>
      <c r="K38" s="16">
        <v>0</v>
      </c>
      <c r="L38" s="16">
        <v>0</v>
      </c>
      <c r="M38" s="16">
        <v>1</v>
      </c>
    </row>
    <row r="39" spans="1:13">
      <c r="A39" s="26">
        <v>35</v>
      </c>
      <c r="B39" s="93" t="s">
        <v>519</v>
      </c>
      <c r="C39" s="97">
        <v>45953</v>
      </c>
      <c r="D39" s="98"/>
      <c r="E39" s="98"/>
      <c r="F39" s="99">
        <v>9</v>
      </c>
      <c r="G39" s="99">
        <v>9</v>
      </c>
      <c r="H39" s="99"/>
      <c r="I39" s="99"/>
      <c r="J39" s="99"/>
      <c r="K39" s="99"/>
      <c r="L39" s="99">
        <v>0</v>
      </c>
      <c r="M39" s="99">
        <v>1</v>
      </c>
    </row>
    <row r="40" spans="1:13">
      <c r="A40" s="26">
        <v>36</v>
      </c>
      <c r="B40" s="24" t="s">
        <v>520</v>
      </c>
      <c r="C40" s="25">
        <v>45950</v>
      </c>
      <c r="D40" s="26"/>
      <c r="E40" s="26"/>
      <c r="F40" s="27">
        <v>12</v>
      </c>
      <c r="G40" s="27">
        <v>12</v>
      </c>
      <c r="H40" s="27"/>
      <c r="I40" s="27"/>
      <c r="J40" s="27"/>
      <c r="K40" s="27"/>
      <c r="L40" s="27">
        <v>1</v>
      </c>
      <c r="M40" s="27">
        <v>0</v>
      </c>
    </row>
    <row r="41" spans="1:13">
      <c r="A41" s="26">
        <v>37</v>
      </c>
      <c r="B41" s="24" t="s">
        <v>521</v>
      </c>
      <c r="C41" s="25">
        <v>45948</v>
      </c>
      <c r="D41" s="26"/>
      <c r="E41" s="26"/>
      <c r="F41" s="27">
        <v>14</v>
      </c>
      <c r="G41" s="27">
        <v>14</v>
      </c>
      <c r="H41" s="27"/>
      <c r="I41" s="27"/>
      <c r="J41" s="27"/>
      <c r="K41" s="27"/>
      <c r="L41" s="136">
        <v>1</v>
      </c>
      <c r="M41" s="136">
        <v>0</v>
      </c>
    </row>
    <row r="42" spans="1:13">
      <c r="A42" s="26">
        <v>38</v>
      </c>
      <c r="B42" s="24" t="s">
        <v>522</v>
      </c>
      <c r="C42" s="25">
        <v>45954</v>
      </c>
      <c r="D42" s="26"/>
      <c r="E42" s="26"/>
      <c r="F42" s="27">
        <v>8</v>
      </c>
      <c r="G42" s="27">
        <v>8</v>
      </c>
      <c r="H42" s="27"/>
      <c r="I42" s="27"/>
      <c r="J42" s="27"/>
      <c r="K42" s="27"/>
      <c r="L42" s="136">
        <v>0</v>
      </c>
      <c r="M42" s="136">
        <v>1</v>
      </c>
    </row>
    <row r="43" spans="1:13">
      <c r="A43" s="26">
        <v>39</v>
      </c>
      <c r="B43" s="24" t="s">
        <v>523</v>
      </c>
      <c r="C43" s="25">
        <v>45949</v>
      </c>
      <c r="D43" s="26"/>
      <c r="E43" s="100"/>
      <c r="F43" s="27">
        <v>14</v>
      </c>
      <c r="G43" s="27">
        <v>13</v>
      </c>
      <c r="H43" s="27"/>
      <c r="I43" s="27"/>
      <c r="J43" s="27"/>
      <c r="K43" s="27"/>
      <c r="L43" s="136">
        <v>1</v>
      </c>
      <c r="M43" s="136">
        <v>0</v>
      </c>
    </row>
    <row r="44" spans="1:13">
      <c r="A44" s="101">
        <v>40</v>
      </c>
      <c r="B44" s="28" t="s">
        <v>524</v>
      </c>
      <c r="C44" s="83">
        <v>45948</v>
      </c>
      <c r="D44" s="84">
        <v>45961</v>
      </c>
      <c r="E44" s="21" t="s">
        <v>36</v>
      </c>
      <c r="F44" s="102">
        <v>14</v>
      </c>
      <c r="G44" s="102">
        <v>13</v>
      </c>
      <c r="H44" s="102">
        <v>1</v>
      </c>
      <c r="I44" s="102">
        <v>0</v>
      </c>
      <c r="J44" s="102">
        <v>0</v>
      </c>
      <c r="K44" s="102">
        <v>0</v>
      </c>
      <c r="L44" s="102">
        <v>1</v>
      </c>
      <c r="M44" s="102">
        <v>0</v>
      </c>
    </row>
    <row r="45" spans="1:13">
      <c r="A45" s="101">
        <v>41</v>
      </c>
      <c r="B45" s="28" t="s">
        <v>525</v>
      </c>
      <c r="C45" s="83">
        <v>45956</v>
      </c>
      <c r="D45" s="84">
        <v>45961</v>
      </c>
      <c r="E45" s="21" t="s">
        <v>36</v>
      </c>
      <c r="F45" s="102">
        <v>6</v>
      </c>
      <c r="G45" s="102">
        <v>5</v>
      </c>
      <c r="H45" s="102">
        <v>1</v>
      </c>
      <c r="I45" s="102">
        <v>0</v>
      </c>
      <c r="J45" s="102">
        <v>0</v>
      </c>
      <c r="K45" s="102">
        <v>0</v>
      </c>
      <c r="L45" s="102">
        <v>0</v>
      </c>
      <c r="M45" s="102">
        <v>1</v>
      </c>
    </row>
    <row r="46" spans="1:13">
      <c r="A46" s="26">
        <v>42</v>
      </c>
      <c r="B46" s="24" t="s">
        <v>526</v>
      </c>
      <c r="C46" s="25">
        <v>45947</v>
      </c>
      <c r="D46" s="26"/>
      <c r="E46" s="26"/>
      <c r="F46" s="27">
        <v>15</v>
      </c>
      <c r="G46" s="27">
        <v>15</v>
      </c>
      <c r="H46" s="27"/>
      <c r="I46" s="27"/>
      <c r="J46" s="27"/>
      <c r="K46" s="27"/>
      <c r="L46" s="136">
        <v>0</v>
      </c>
      <c r="M46" s="136">
        <v>1</v>
      </c>
    </row>
    <row r="47" spans="1:13">
      <c r="A47" s="579">
        <v>43</v>
      </c>
      <c r="B47" s="580" t="s">
        <v>531</v>
      </c>
      <c r="C47" s="586">
        <v>45961</v>
      </c>
      <c r="D47" s="587"/>
      <c r="E47" s="587"/>
      <c r="F47" s="587">
        <v>1</v>
      </c>
      <c r="G47" s="587">
        <v>1</v>
      </c>
      <c r="H47" s="587"/>
      <c r="I47" s="587"/>
      <c r="J47" s="587"/>
      <c r="K47" s="587"/>
      <c r="L47" s="587"/>
      <c r="M47" s="587"/>
    </row>
    <row r="48" spans="1:13">
      <c r="A48" s="103"/>
      <c r="B48" s="104"/>
      <c r="C48" s="104"/>
      <c r="D48" s="104"/>
      <c r="E48" s="105"/>
      <c r="F48" s="106">
        <f>SUM(F5:F47)</f>
        <v>555</v>
      </c>
      <c r="G48" s="107">
        <f>SUM(G5:G47)</f>
        <v>530</v>
      </c>
      <c r="H48" s="107">
        <f t="shared" ref="H48:M48" si="0">SUM(H5:H46)</f>
        <v>27</v>
      </c>
      <c r="I48" s="107">
        <f t="shared" si="0"/>
        <v>6</v>
      </c>
      <c r="J48" s="107">
        <f t="shared" si="0"/>
        <v>6</v>
      </c>
      <c r="K48" s="107">
        <f t="shared" si="0"/>
        <v>0</v>
      </c>
      <c r="L48" s="107">
        <f t="shared" si="0"/>
        <v>23</v>
      </c>
      <c r="M48" s="107">
        <f t="shared" si="0"/>
        <v>19</v>
      </c>
    </row>
    <row r="49" spans="1:13">
      <c r="A49" s="108"/>
      <c r="B49" s="109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37"/>
    </row>
    <row r="50" spans="1:13" ht="38.25">
      <c r="A50" s="111"/>
      <c r="B50" s="109"/>
      <c r="C50" s="112" t="s">
        <v>91</v>
      </c>
      <c r="D50" s="113" t="s">
        <v>92</v>
      </c>
      <c r="E50" s="112" t="s">
        <v>93</v>
      </c>
      <c r="F50" s="113" t="s">
        <v>94</v>
      </c>
      <c r="G50" s="113" t="s">
        <v>95</v>
      </c>
      <c r="H50" s="113" t="s">
        <v>96</v>
      </c>
      <c r="I50" s="113" t="s">
        <v>97</v>
      </c>
      <c r="J50" s="113" t="s">
        <v>98</v>
      </c>
      <c r="K50" s="112" t="s">
        <v>99</v>
      </c>
      <c r="L50" s="138" t="s">
        <v>100</v>
      </c>
      <c r="M50" s="112" t="s">
        <v>101</v>
      </c>
    </row>
    <row r="51" spans="1:13">
      <c r="A51" s="111"/>
      <c r="B51" s="114"/>
      <c r="C51" s="115">
        <v>18</v>
      </c>
      <c r="D51" s="115">
        <v>31</v>
      </c>
      <c r="E51" s="115">
        <v>558</v>
      </c>
      <c r="F51" s="116">
        <f>G48</f>
        <v>530</v>
      </c>
      <c r="G51" s="117">
        <f>SUM(F51/E51)</f>
        <v>0.94982078853046592</v>
      </c>
      <c r="H51" s="118">
        <f>SUM(G48/H48)</f>
        <v>19.62962962962963</v>
      </c>
      <c r="I51" s="139">
        <v>0.128205128205128</v>
      </c>
      <c r="J51" s="139">
        <v>0.8</v>
      </c>
      <c r="K51" s="140">
        <v>0.2</v>
      </c>
      <c r="L51" s="141">
        <v>0.58974358974358998</v>
      </c>
      <c r="M51" s="140">
        <v>0.41025641025641002</v>
      </c>
    </row>
    <row r="53" spans="1:13">
      <c r="B53" t="s">
        <v>344</v>
      </c>
    </row>
    <row r="54" spans="1:13" ht="25.5">
      <c r="A54" s="7" t="s">
        <v>1</v>
      </c>
      <c r="B54" s="10" t="s">
        <v>2</v>
      </c>
      <c r="C54" s="7" t="s">
        <v>3</v>
      </c>
      <c r="D54" s="7" t="s">
        <v>4</v>
      </c>
      <c r="E54" s="8" t="s">
        <v>5</v>
      </c>
      <c r="F54" s="9" t="s">
        <v>6</v>
      </c>
      <c r="G54" s="7" t="s">
        <v>7</v>
      </c>
      <c r="H54" s="10" t="s">
        <v>8</v>
      </c>
      <c r="I54" s="10" t="s">
        <v>9</v>
      </c>
      <c r="J54" s="8" t="s">
        <v>10</v>
      </c>
      <c r="K54" s="134" t="s">
        <v>11</v>
      </c>
      <c r="L54" s="135" t="s">
        <v>12</v>
      </c>
      <c r="M54" s="134" t="s">
        <v>13</v>
      </c>
    </row>
    <row r="55" spans="1:13">
      <c r="A55" s="119">
        <v>1</v>
      </c>
      <c r="B55" s="28" t="s">
        <v>463</v>
      </c>
      <c r="C55" s="19">
        <v>45914</v>
      </c>
      <c r="D55" s="55">
        <v>45933</v>
      </c>
      <c r="E55" s="21" t="s">
        <v>36</v>
      </c>
      <c r="F55" s="31">
        <v>3</v>
      </c>
      <c r="G55" s="31">
        <v>3</v>
      </c>
      <c r="H55" s="31">
        <v>1</v>
      </c>
      <c r="I55" s="31">
        <v>0</v>
      </c>
      <c r="J55" s="31">
        <v>0</v>
      </c>
      <c r="K55" s="31">
        <v>0</v>
      </c>
      <c r="L55" s="31">
        <v>1</v>
      </c>
      <c r="M55" s="31">
        <v>0</v>
      </c>
    </row>
    <row r="56" spans="1:13">
      <c r="A56" s="120">
        <v>2</v>
      </c>
      <c r="B56" s="121" t="s">
        <v>468</v>
      </c>
      <c r="C56" s="122">
        <v>45926</v>
      </c>
      <c r="D56" s="123">
        <v>45934</v>
      </c>
      <c r="E56" s="21" t="s">
        <v>36</v>
      </c>
      <c r="F56" s="124">
        <v>4</v>
      </c>
      <c r="G56" s="124">
        <v>3</v>
      </c>
      <c r="H56" s="124">
        <v>1</v>
      </c>
      <c r="I56" s="124">
        <v>0</v>
      </c>
      <c r="J56" s="124">
        <v>0</v>
      </c>
      <c r="K56" s="124">
        <v>0</v>
      </c>
      <c r="L56" s="124">
        <v>1</v>
      </c>
      <c r="M56" s="124">
        <v>0</v>
      </c>
    </row>
    <row r="57" spans="1:13">
      <c r="A57" s="125">
        <v>3</v>
      </c>
      <c r="B57" s="28" t="s">
        <v>492</v>
      </c>
      <c r="C57" s="19">
        <v>45929</v>
      </c>
      <c r="D57" s="126">
        <v>45938</v>
      </c>
      <c r="E57" s="21" t="s">
        <v>36</v>
      </c>
      <c r="F57" s="22">
        <v>8</v>
      </c>
      <c r="G57" s="22">
        <v>7</v>
      </c>
      <c r="H57" s="22">
        <v>1</v>
      </c>
      <c r="I57" s="22">
        <v>0</v>
      </c>
      <c r="J57" s="22">
        <v>0</v>
      </c>
      <c r="K57" s="22">
        <v>0</v>
      </c>
      <c r="L57" s="22">
        <v>1</v>
      </c>
      <c r="M57" s="22">
        <v>0</v>
      </c>
    </row>
    <row r="58" spans="1:13">
      <c r="A58" s="125">
        <v>4</v>
      </c>
      <c r="B58" s="28" t="s">
        <v>494</v>
      </c>
      <c r="C58" s="19">
        <v>45930</v>
      </c>
      <c r="D58" s="126">
        <v>45938</v>
      </c>
      <c r="E58" s="21" t="s">
        <v>36</v>
      </c>
      <c r="F58" s="22">
        <v>8</v>
      </c>
      <c r="G58" s="22">
        <v>7</v>
      </c>
      <c r="H58" s="22">
        <v>1</v>
      </c>
      <c r="I58" s="22">
        <v>0</v>
      </c>
      <c r="J58" s="22">
        <v>0</v>
      </c>
      <c r="K58" s="22">
        <v>0</v>
      </c>
      <c r="L58" s="22">
        <v>1</v>
      </c>
      <c r="M58" s="22">
        <v>0</v>
      </c>
    </row>
    <row r="59" spans="1:13">
      <c r="A59" s="33">
        <v>5</v>
      </c>
      <c r="B59" s="127" t="s">
        <v>495</v>
      </c>
      <c r="C59" s="25">
        <v>45946</v>
      </c>
      <c r="D59" s="34"/>
      <c r="E59" s="34"/>
      <c r="F59" s="34">
        <v>16</v>
      </c>
      <c r="G59" s="34">
        <v>15</v>
      </c>
      <c r="H59" s="34"/>
      <c r="I59" s="34"/>
      <c r="J59" s="34"/>
      <c r="K59" s="34"/>
      <c r="L59" s="34">
        <v>1</v>
      </c>
      <c r="M59" s="34">
        <v>0</v>
      </c>
    </row>
    <row r="60" spans="1:13">
      <c r="A60" s="119">
        <v>6</v>
      </c>
      <c r="B60" s="128" t="s">
        <v>496</v>
      </c>
      <c r="C60" s="19">
        <v>45938</v>
      </c>
      <c r="D60" s="55">
        <v>45952</v>
      </c>
      <c r="E60" s="129" t="s">
        <v>36</v>
      </c>
      <c r="F60" s="31">
        <v>14</v>
      </c>
      <c r="G60" s="31">
        <v>13</v>
      </c>
      <c r="H60" s="31">
        <v>1</v>
      </c>
      <c r="I60" s="31">
        <v>0</v>
      </c>
      <c r="J60" s="31">
        <v>0</v>
      </c>
      <c r="K60" s="31">
        <v>0</v>
      </c>
      <c r="L60" s="31">
        <v>0</v>
      </c>
      <c r="M60" s="31">
        <v>1</v>
      </c>
    </row>
    <row r="61" spans="1:13">
      <c r="A61" s="130">
        <v>7</v>
      </c>
      <c r="B61" s="131" t="s">
        <v>487</v>
      </c>
      <c r="C61" s="132">
        <v>45937</v>
      </c>
      <c r="D61" s="34"/>
      <c r="E61" s="34"/>
      <c r="F61" s="34">
        <v>25</v>
      </c>
      <c r="G61" s="34">
        <v>24</v>
      </c>
      <c r="H61" s="34"/>
      <c r="I61" s="34"/>
      <c r="J61" s="34"/>
      <c r="K61" s="34"/>
      <c r="L61" s="34">
        <v>1</v>
      </c>
      <c r="M61" s="34">
        <v>0</v>
      </c>
    </row>
    <row r="62" spans="1:13">
      <c r="A62" s="119">
        <v>8</v>
      </c>
      <c r="B62" s="18" t="s">
        <v>508</v>
      </c>
      <c r="C62" s="19">
        <v>45940</v>
      </c>
      <c r="D62" s="55">
        <v>45946</v>
      </c>
      <c r="E62" s="21" t="s">
        <v>36</v>
      </c>
      <c r="F62" s="31">
        <v>7</v>
      </c>
      <c r="G62" s="31">
        <v>6</v>
      </c>
      <c r="H62" s="31">
        <v>1</v>
      </c>
      <c r="I62" s="31">
        <v>0</v>
      </c>
      <c r="J62" s="31">
        <v>0</v>
      </c>
      <c r="K62" s="31">
        <v>0</v>
      </c>
      <c r="L62" s="31">
        <v>1</v>
      </c>
      <c r="M62" s="31">
        <v>0</v>
      </c>
    </row>
    <row r="63" spans="1:13">
      <c r="A63" s="119">
        <v>9</v>
      </c>
      <c r="B63" s="133" t="s">
        <v>503</v>
      </c>
      <c r="C63" s="19">
        <v>45945</v>
      </c>
      <c r="D63" s="55">
        <v>45946</v>
      </c>
      <c r="E63" s="21" t="s">
        <v>36</v>
      </c>
      <c r="F63" s="31">
        <v>2</v>
      </c>
      <c r="G63" s="31">
        <v>1</v>
      </c>
      <c r="H63" s="31">
        <v>1</v>
      </c>
      <c r="I63" s="31">
        <v>0</v>
      </c>
      <c r="J63" s="31">
        <v>0</v>
      </c>
      <c r="K63" s="31">
        <v>0</v>
      </c>
      <c r="L63" s="31">
        <v>0</v>
      </c>
      <c r="M63" s="31">
        <v>1</v>
      </c>
    </row>
    <row r="64" spans="1:13">
      <c r="A64" s="119">
        <v>10</v>
      </c>
      <c r="B64" s="133" t="s">
        <v>507</v>
      </c>
      <c r="C64" s="19">
        <v>45938</v>
      </c>
      <c r="D64" s="55">
        <v>45939</v>
      </c>
      <c r="E64" s="21" t="s">
        <v>36</v>
      </c>
      <c r="F64" s="31">
        <v>2</v>
      </c>
      <c r="G64" s="31">
        <v>1</v>
      </c>
      <c r="H64" s="31">
        <v>1</v>
      </c>
      <c r="I64" s="31">
        <v>0</v>
      </c>
      <c r="J64" s="31">
        <v>0</v>
      </c>
      <c r="K64" s="31">
        <v>0</v>
      </c>
      <c r="L64" s="31">
        <v>1</v>
      </c>
      <c r="M64" s="31">
        <v>0</v>
      </c>
    </row>
    <row r="65" spans="1:13">
      <c r="A65" s="142">
        <v>11</v>
      </c>
      <c r="B65" s="94" t="s">
        <v>506</v>
      </c>
      <c r="C65" s="13">
        <v>45947</v>
      </c>
      <c r="D65" s="143">
        <v>45949</v>
      </c>
      <c r="E65" s="15" t="s">
        <v>431</v>
      </c>
      <c r="F65" s="144">
        <v>3</v>
      </c>
      <c r="G65" s="144">
        <v>2</v>
      </c>
      <c r="H65" s="144">
        <v>1</v>
      </c>
      <c r="I65" s="144">
        <v>0</v>
      </c>
      <c r="J65" s="144">
        <v>0</v>
      </c>
      <c r="K65" s="144">
        <v>0</v>
      </c>
      <c r="L65" s="144">
        <v>0</v>
      </c>
      <c r="M65" s="144">
        <v>1</v>
      </c>
    </row>
    <row r="66" spans="1:13">
      <c r="A66" s="33">
        <v>12</v>
      </c>
      <c r="B66" s="131" t="s">
        <v>527</v>
      </c>
      <c r="C66" s="25">
        <v>45952</v>
      </c>
      <c r="D66" s="26"/>
      <c r="E66" s="26"/>
      <c r="F66" s="27">
        <v>10</v>
      </c>
      <c r="G66" s="27">
        <v>10</v>
      </c>
      <c r="H66" s="27"/>
      <c r="I66" s="27"/>
      <c r="J66" s="27"/>
      <c r="K66" s="27"/>
      <c r="L66" s="27">
        <v>0</v>
      </c>
      <c r="M66" s="27">
        <v>1</v>
      </c>
    </row>
    <row r="67" spans="1:13">
      <c r="A67" s="33">
        <v>13</v>
      </c>
      <c r="B67" s="145" t="s">
        <v>517</v>
      </c>
      <c r="C67" s="25">
        <v>45949</v>
      </c>
      <c r="D67" s="34"/>
      <c r="E67" s="34"/>
      <c r="F67" s="34">
        <v>13</v>
      </c>
      <c r="G67" s="34">
        <v>13</v>
      </c>
      <c r="H67" s="34"/>
      <c r="I67" s="34"/>
      <c r="J67" s="34"/>
      <c r="K67" s="34"/>
      <c r="L67" s="34">
        <v>0</v>
      </c>
      <c r="M67" s="34">
        <v>1</v>
      </c>
    </row>
    <row r="68" spans="1:13">
      <c r="A68" s="103"/>
      <c r="B68" s="104"/>
      <c r="C68" s="104"/>
      <c r="D68" s="104"/>
      <c r="E68" s="105"/>
      <c r="F68" s="146">
        <f>SUM(F55:F67)</f>
        <v>115</v>
      </c>
      <c r="G68" s="107">
        <f>SUM(G55:G67)</f>
        <v>105</v>
      </c>
      <c r="H68" s="107">
        <f>SUM(H55:H67)</f>
        <v>9</v>
      </c>
      <c r="I68" s="153">
        <v>0</v>
      </c>
      <c r="J68" s="153">
        <v>0</v>
      </c>
      <c r="K68" s="153">
        <v>0</v>
      </c>
      <c r="L68" s="107">
        <f>SUM(L55:L67)</f>
        <v>8</v>
      </c>
      <c r="M68" s="107">
        <f>SUM(M55:M67)</f>
        <v>5</v>
      </c>
    </row>
    <row r="69" spans="1:13">
      <c r="A69" s="108"/>
      <c r="B69" s="147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54"/>
    </row>
    <row r="70" spans="1:13" ht="38.25">
      <c r="A70" s="111"/>
      <c r="B70" s="148"/>
      <c r="C70" s="112" t="s">
        <v>91</v>
      </c>
      <c r="D70" s="113" t="s">
        <v>92</v>
      </c>
      <c r="E70" s="112" t="s">
        <v>93</v>
      </c>
      <c r="F70" s="113" t="s">
        <v>94</v>
      </c>
      <c r="G70" s="113" t="s">
        <v>95</v>
      </c>
      <c r="H70" s="113" t="s">
        <v>96</v>
      </c>
      <c r="I70" s="113" t="s">
        <v>97</v>
      </c>
      <c r="J70" s="113" t="s">
        <v>98</v>
      </c>
      <c r="K70" s="112" t="s">
        <v>99</v>
      </c>
      <c r="L70" s="138" t="s">
        <v>100</v>
      </c>
      <c r="M70" s="112" t="s">
        <v>101</v>
      </c>
    </row>
    <row r="71" spans="1:13">
      <c r="A71" s="111"/>
      <c r="B71" s="114"/>
      <c r="C71" s="115">
        <v>4</v>
      </c>
      <c r="D71" s="115">
        <v>31</v>
      </c>
      <c r="E71" s="115">
        <v>124</v>
      </c>
      <c r="F71" s="116">
        <f>G68</f>
        <v>105</v>
      </c>
      <c r="G71" s="117">
        <f>SUM(F71/E71)</f>
        <v>0.84677419354838701</v>
      </c>
      <c r="H71" s="118">
        <f>G68/H68</f>
        <v>11.6666666666667</v>
      </c>
      <c r="I71" s="139">
        <v>0</v>
      </c>
      <c r="J71" s="139">
        <v>0</v>
      </c>
      <c r="K71" s="139">
        <v>0</v>
      </c>
      <c r="L71" s="141">
        <v>0.58823529411764697</v>
      </c>
      <c r="M71" s="140">
        <v>0.41176470588235298</v>
      </c>
    </row>
    <row r="73" spans="1:13">
      <c r="B73" t="s">
        <v>354</v>
      </c>
    </row>
    <row r="74" spans="1:13" ht="25.5">
      <c r="A74" s="7" t="s">
        <v>1</v>
      </c>
      <c r="B74" s="10" t="s">
        <v>2</v>
      </c>
      <c r="C74" s="7" t="s">
        <v>3</v>
      </c>
      <c r="D74" s="7" t="s">
        <v>4</v>
      </c>
      <c r="E74" s="8" t="s">
        <v>5</v>
      </c>
      <c r="F74" s="9" t="s">
        <v>6</v>
      </c>
      <c r="G74" s="7" t="s">
        <v>7</v>
      </c>
      <c r="H74" s="10" t="s">
        <v>8</v>
      </c>
      <c r="I74" s="10" t="s">
        <v>9</v>
      </c>
      <c r="J74" s="8" t="s">
        <v>10</v>
      </c>
      <c r="K74" s="134" t="s">
        <v>11</v>
      </c>
      <c r="L74" s="135" t="s">
        <v>12</v>
      </c>
      <c r="M74" s="134" t="s">
        <v>13</v>
      </c>
    </row>
    <row r="75" spans="1:13">
      <c r="A75" s="119">
        <v>1</v>
      </c>
      <c r="B75" s="28" t="s">
        <v>485</v>
      </c>
      <c r="C75" s="55">
        <v>45919</v>
      </c>
      <c r="D75" s="55">
        <v>45942</v>
      </c>
      <c r="E75" s="21" t="s">
        <v>36</v>
      </c>
      <c r="F75" s="31">
        <v>12</v>
      </c>
      <c r="G75" s="31">
        <v>11</v>
      </c>
      <c r="H75" s="31">
        <v>1</v>
      </c>
      <c r="I75" s="31">
        <v>0</v>
      </c>
      <c r="J75" s="31">
        <v>0</v>
      </c>
      <c r="K75" s="31">
        <v>0</v>
      </c>
      <c r="L75" s="31">
        <v>0</v>
      </c>
      <c r="M75" s="31">
        <v>1</v>
      </c>
    </row>
    <row r="76" spans="1:13">
      <c r="A76" s="149">
        <v>2</v>
      </c>
      <c r="B76" s="28" t="s">
        <v>477</v>
      </c>
      <c r="C76" s="150">
        <v>45919</v>
      </c>
      <c r="D76" s="151">
        <v>45954</v>
      </c>
      <c r="E76" s="21" t="s">
        <v>36</v>
      </c>
      <c r="F76" s="85">
        <v>24</v>
      </c>
      <c r="G76" s="85">
        <v>23</v>
      </c>
      <c r="H76" s="85">
        <v>1</v>
      </c>
      <c r="I76" s="85">
        <v>0</v>
      </c>
      <c r="J76" s="85">
        <v>0</v>
      </c>
      <c r="K76" s="85">
        <v>0</v>
      </c>
      <c r="L76" s="85">
        <v>0</v>
      </c>
      <c r="M76" s="85">
        <v>1</v>
      </c>
    </row>
    <row r="77" spans="1:13">
      <c r="A77" s="33">
        <v>3</v>
      </c>
      <c r="B77" s="127" t="s">
        <v>528</v>
      </c>
      <c r="C77" s="152">
        <v>45931</v>
      </c>
      <c r="D77" s="34"/>
      <c r="E77" s="34"/>
      <c r="F77" s="34">
        <v>31</v>
      </c>
      <c r="G77" s="34">
        <v>31</v>
      </c>
      <c r="H77" s="34"/>
      <c r="I77" s="34"/>
      <c r="J77" s="34"/>
      <c r="K77" s="34"/>
      <c r="L77" s="34">
        <v>1</v>
      </c>
      <c r="M77" s="34">
        <v>0</v>
      </c>
    </row>
    <row r="78" spans="1:13">
      <c r="A78" s="33">
        <v>4</v>
      </c>
      <c r="B78" s="127" t="s">
        <v>497</v>
      </c>
      <c r="C78" s="152">
        <v>45944</v>
      </c>
      <c r="D78" s="34"/>
      <c r="E78" s="34"/>
      <c r="F78" s="34">
        <v>18</v>
      </c>
      <c r="G78" s="34">
        <v>18</v>
      </c>
      <c r="H78" s="34"/>
      <c r="I78" s="34"/>
      <c r="J78" s="34"/>
      <c r="K78" s="34"/>
      <c r="L78" s="34">
        <v>1</v>
      </c>
      <c r="M78" s="34">
        <v>0</v>
      </c>
    </row>
    <row r="79" spans="1:13">
      <c r="A79" s="33">
        <v>5</v>
      </c>
      <c r="B79" s="145" t="s">
        <v>529</v>
      </c>
      <c r="C79" s="152">
        <v>45956</v>
      </c>
      <c r="D79" s="34"/>
      <c r="E79" s="34"/>
      <c r="F79" s="34">
        <v>6</v>
      </c>
      <c r="G79" s="34">
        <v>6</v>
      </c>
      <c r="H79" s="34"/>
      <c r="I79" s="34"/>
      <c r="J79" s="34"/>
      <c r="K79" s="34"/>
      <c r="L79" s="34">
        <v>0</v>
      </c>
      <c r="M79" s="34">
        <v>1</v>
      </c>
    </row>
    <row r="80" spans="1:13">
      <c r="A80" s="103"/>
      <c r="B80" s="104"/>
      <c r="C80" s="104"/>
      <c r="D80" s="104"/>
      <c r="E80" s="105"/>
      <c r="F80" s="146">
        <f>SUM(F75:F79)</f>
        <v>91</v>
      </c>
      <c r="G80" s="107">
        <f>SUM(G75:G79)</f>
        <v>89</v>
      </c>
      <c r="H80" s="107">
        <f>SUM(H75:H79)</f>
        <v>2</v>
      </c>
      <c r="I80" s="153">
        <v>0</v>
      </c>
      <c r="J80" s="153">
        <v>0</v>
      </c>
      <c r="K80" s="153">
        <v>0</v>
      </c>
      <c r="L80" s="153">
        <v>2</v>
      </c>
      <c r="M80" s="153">
        <v>3</v>
      </c>
    </row>
    <row r="81" spans="1:13">
      <c r="A81" s="108"/>
      <c r="B81" s="147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54"/>
    </row>
    <row r="82" spans="1:13" ht="38.25">
      <c r="A82" s="111"/>
      <c r="B82" s="148"/>
      <c r="C82" s="112" t="s">
        <v>91</v>
      </c>
      <c r="D82" s="113" t="s">
        <v>92</v>
      </c>
      <c r="E82" s="112" t="s">
        <v>93</v>
      </c>
      <c r="F82" s="113" t="s">
        <v>94</v>
      </c>
      <c r="G82" s="113" t="s">
        <v>95</v>
      </c>
      <c r="H82" s="113" t="s">
        <v>96</v>
      </c>
      <c r="I82" s="113" t="s">
        <v>97</v>
      </c>
      <c r="J82" s="113" t="s">
        <v>98</v>
      </c>
      <c r="K82" s="112" t="s">
        <v>99</v>
      </c>
      <c r="L82" s="138" t="s">
        <v>100</v>
      </c>
      <c r="M82" s="112" t="s">
        <v>101</v>
      </c>
    </row>
    <row r="83" spans="1:13">
      <c r="A83" s="111"/>
      <c r="B83" s="114"/>
      <c r="C83" s="115">
        <v>3</v>
      </c>
      <c r="D83" s="115">
        <v>31</v>
      </c>
      <c r="E83" s="115">
        <v>93</v>
      </c>
      <c r="F83" s="116">
        <f>G80</f>
        <v>89</v>
      </c>
      <c r="G83" s="117">
        <f>F83/E83</f>
        <v>0.956989247311828</v>
      </c>
      <c r="H83" s="118">
        <f>G80/H80</f>
        <v>44.5</v>
      </c>
      <c r="I83" s="139">
        <v>0</v>
      </c>
      <c r="J83" s="139">
        <v>0</v>
      </c>
      <c r="K83" s="140">
        <v>0</v>
      </c>
      <c r="L83" s="141">
        <v>0.33333333333333298</v>
      </c>
      <c r="M83" s="140">
        <v>0.66666666666666696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83"/>
  <sheetViews>
    <sheetView tabSelected="1" topLeftCell="A16" workbookViewId="0">
      <selection activeCell="I38" sqref="I38"/>
    </sheetView>
  </sheetViews>
  <sheetFormatPr defaultRowHeight="15"/>
  <cols>
    <col min="1" max="1" width="4.28515625" customWidth="1"/>
    <col min="2" max="2" width="36.5703125" customWidth="1"/>
    <col min="3" max="3" width="13.28515625" customWidth="1"/>
    <col min="4" max="4" width="13.140625" customWidth="1"/>
    <col min="5" max="5" width="16.7109375" customWidth="1"/>
  </cols>
  <sheetData>
    <row r="1" spans="1:13">
      <c r="A1" s="666" t="s">
        <v>501</v>
      </c>
      <c r="B1" s="666"/>
      <c r="C1" s="666"/>
      <c r="D1" s="666"/>
      <c r="E1" s="666"/>
      <c r="F1" s="666"/>
      <c r="G1" s="1">
        <v>45931</v>
      </c>
      <c r="H1" s="2"/>
      <c r="I1" s="2"/>
      <c r="J1" s="2"/>
      <c r="K1" s="2"/>
      <c r="L1" s="2"/>
      <c r="M1" s="2"/>
    </row>
    <row r="3" spans="1:13">
      <c r="B3" s="3" t="s">
        <v>246</v>
      </c>
    </row>
    <row r="4" spans="1:13" ht="25.5">
      <c r="A4" s="4" t="s">
        <v>1</v>
      </c>
      <c r="B4" s="5" t="s">
        <v>2</v>
      </c>
      <c r="C4" s="6" t="s">
        <v>3</v>
      </c>
      <c r="D4" s="7" t="s">
        <v>4</v>
      </c>
      <c r="E4" s="8" t="s">
        <v>5</v>
      </c>
      <c r="F4" s="9" t="s">
        <v>6</v>
      </c>
      <c r="G4" s="7" t="s">
        <v>7</v>
      </c>
      <c r="H4" s="10" t="s">
        <v>8</v>
      </c>
      <c r="I4" s="10" t="s">
        <v>9</v>
      </c>
      <c r="J4" s="8" t="s">
        <v>10</v>
      </c>
      <c r="K4" s="134" t="s">
        <v>11</v>
      </c>
      <c r="L4" s="135" t="s">
        <v>12</v>
      </c>
      <c r="M4" s="134" t="s">
        <v>13</v>
      </c>
    </row>
    <row r="5" spans="1:13">
      <c r="A5" s="625">
        <v>1</v>
      </c>
      <c r="B5" s="606" t="s">
        <v>442</v>
      </c>
      <c r="C5" s="605">
        <v>45875</v>
      </c>
      <c r="D5" s="626">
        <v>45976</v>
      </c>
      <c r="E5" s="602" t="s">
        <v>36</v>
      </c>
      <c r="F5" s="627">
        <v>15</v>
      </c>
      <c r="G5" s="627">
        <v>14</v>
      </c>
      <c r="H5" s="627">
        <v>1</v>
      </c>
      <c r="I5" s="627">
        <v>0</v>
      </c>
      <c r="J5" s="627">
        <v>0</v>
      </c>
      <c r="K5" s="627">
        <v>0</v>
      </c>
      <c r="L5" s="627">
        <v>1</v>
      </c>
      <c r="M5" s="627">
        <v>0</v>
      </c>
    </row>
    <row r="6" spans="1:13">
      <c r="A6" s="23">
        <v>2</v>
      </c>
      <c r="B6" s="670" t="s">
        <v>478</v>
      </c>
      <c r="C6" s="32">
        <v>45900</v>
      </c>
      <c r="D6" s="33"/>
      <c r="E6" s="33"/>
      <c r="F6" s="34">
        <v>30</v>
      </c>
      <c r="G6" s="34">
        <v>30</v>
      </c>
      <c r="H6" s="34"/>
      <c r="I6" s="34"/>
      <c r="J6" s="34"/>
      <c r="K6" s="34"/>
      <c r="L6" s="34">
        <v>1</v>
      </c>
      <c r="M6" s="34">
        <v>0</v>
      </c>
    </row>
    <row r="7" spans="1:13">
      <c r="A7" s="54">
        <v>3</v>
      </c>
      <c r="B7" s="28" t="s">
        <v>479</v>
      </c>
      <c r="C7" s="29">
        <v>45904</v>
      </c>
      <c r="D7" s="55">
        <v>45964</v>
      </c>
      <c r="E7" s="602" t="s">
        <v>36</v>
      </c>
      <c r="F7" s="31">
        <v>3</v>
      </c>
      <c r="G7" s="31">
        <v>2</v>
      </c>
      <c r="H7" s="31">
        <v>1</v>
      </c>
      <c r="I7" s="31">
        <v>0</v>
      </c>
      <c r="J7" s="31">
        <v>0</v>
      </c>
      <c r="K7" s="31">
        <v>0</v>
      </c>
      <c r="L7" s="31">
        <v>0</v>
      </c>
      <c r="M7" s="31">
        <v>1</v>
      </c>
    </row>
    <row r="8" spans="1:13">
      <c r="A8" s="645">
        <v>4</v>
      </c>
      <c r="B8" s="646" t="s">
        <v>504</v>
      </c>
      <c r="C8" s="647">
        <v>45935</v>
      </c>
      <c r="D8" s="648">
        <v>45987</v>
      </c>
      <c r="E8" s="623" t="s">
        <v>17</v>
      </c>
      <c r="F8" s="649">
        <v>26</v>
      </c>
      <c r="G8" s="649">
        <v>26</v>
      </c>
      <c r="H8" s="649">
        <v>1</v>
      </c>
      <c r="I8" s="649">
        <v>1</v>
      </c>
      <c r="J8" s="649">
        <v>1</v>
      </c>
      <c r="K8" s="649">
        <v>0</v>
      </c>
      <c r="L8" s="649">
        <v>0</v>
      </c>
      <c r="M8" s="649">
        <v>1</v>
      </c>
    </row>
    <row r="9" spans="1:13">
      <c r="A9" s="23">
        <v>5</v>
      </c>
      <c r="B9" s="671" t="s">
        <v>509</v>
      </c>
      <c r="C9" s="25">
        <v>45941</v>
      </c>
      <c r="D9" s="34"/>
      <c r="E9" s="34"/>
      <c r="F9" s="34">
        <v>30</v>
      </c>
      <c r="G9" s="34">
        <v>30</v>
      </c>
      <c r="H9" s="34"/>
      <c r="I9" s="34"/>
      <c r="J9" s="34"/>
      <c r="K9" s="34"/>
      <c r="L9" s="34">
        <v>1</v>
      </c>
      <c r="M9" s="34">
        <v>0</v>
      </c>
    </row>
    <row r="10" spans="1:13">
      <c r="A10" s="597">
        <v>6</v>
      </c>
      <c r="B10" s="582" t="s">
        <v>510</v>
      </c>
      <c r="C10" s="583">
        <v>45945</v>
      </c>
      <c r="D10" s="584">
        <v>45969</v>
      </c>
      <c r="E10" s="319" t="s">
        <v>255</v>
      </c>
      <c r="F10" s="585">
        <v>8</v>
      </c>
      <c r="G10" s="585">
        <v>7</v>
      </c>
      <c r="H10" s="585">
        <v>1</v>
      </c>
      <c r="I10" s="585">
        <v>0</v>
      </c>
      <c r="J10" s="585">
        <v>0</v>
      </c>
      <c r="K10" s="585">
        <v>0</v>
      </c>
      <c r="L10" s="585">
        <v>1</v>
      </c>
      <c r="M10" s="585">
        <v>0</v>
      </c>
    </row>
    <row r="11" spans="1:13">
      <c r="A11" s="23">
        <v>7</v>
      </c>
      <c r="B11" s="671" t="s">
        <v>512</v>
      </c>
      <c r="C11" s="25">
        <v>45940</v>
      </c>
      <c r="D11" s="34"/>
      <c r="E11" s="34"/>
      <c r="F11" s="34">
        <v>30</v>
      </c>
      <c r="G11" s="34">
        <v>30</v>
      </c>
      <c r="H11" s="34"/>
      <c r="I11" s="34"/>
      <c r="J11" s="34"/>
      <c r="K11" s="34"/>
      <c r="L11" s="34">
        <v>1</v>
      </c>
      <c r="M11" s="34">
        <v>0</v>
      </c>
    </row>
    <row r="12" spans="1:13">
      <c r="A12" s="66">
        <v>8</v>
      </c>
      <c r="B12" s="635" t="s">
        <v>513</v>
      </c>
      <c r="C12" s="79">
        <v>45940</v>
      </c>
      <c r="D12" s="51">
        <v>45980</v>
      </c>
      <c r="E12" s="52" t="s">
        <v>250</v>
      </c>
      <c r="F12" s="53">
        <v>19</v>
      </c>
      <c r="G12" s="53">
        <v>19</v>
      </c>
      <c r="H12" s="53">
        <v>1</v>
      </c>
      <c r="I12" s="53">
        <v>0</v>
      </c>
      <c r="J12" s="53">
        <v>0</v>
      </c>
      <c r="K12" s="53">
        <v>0</v>
      </c>
      <c r="L12" s="53">
        <v>1</v>
      </c>
      <c r="M12" s="53">
        <v>0</v>
      </c>
    </row>
    <row r="13" spans="1:13">
      <c r="A13" s="597">
        <v>9</v>
      </c>
      <c r="B13" s="316" t="s">
        <v>515</v>
      </c>
      <c r="C13" s="583">
        <v>45946</v>
      </c>
      <c r="D13" s="584">
        <v>45965</v>
      </c>
      <c r="E13" s="319" t="s">
        <v>255</v>
      </c>
      <c r="F13" s="585">
        <v>4</v>
      </c>
      <c r="G13" s="585">
        <v>3</v>
      </c>
      <c r="H13" s="585">
        <v>1</v>
      </c>
      <c r="I13" s="585">
        <v>0</v>
      </c>
      <c r="J13" s="585">
        <v>0</v>
      </c>
      <c r="K13" s="585">
        <v>0</v>
      </c>
      <c r="L13" s="585">
        <v>1</v>
      </c>
      <c r="M13" s="585">
        <v>0</v>
      </c>
    </row>
    <row r="14" spans="1:13">
      <c r="A14" s="619">
        <v>10</v>
      </c>
      <c r="B14" s="620" t="s">
        <v>537</v>
      </c>
      <c r="C14" s="621">
        <v>45953</v>
      </c>
      <c r="D14" s="622">
        <v>45973</v>
      </c>
      <c r="E14" s="623" t="s">
        <v>17</v>
      </c>
      <c r="F14" s="624">
        <v>12</v>
      </c>
      <c r="G14" s="624">
        <v>12</v>
      </c>
      <c r="H14" s="624">
        <v>1</v>
      </c>
      <c r="I14" s="624">
        <v>1</v>
      </c>
      <c r="J14" s="624">
        <v>1</v>
      </c>
      <c r="K14" s="624">
        <v>0</v>
      </c>
      <c r="L14" s="624">
        <v>0</v>
      </c>
      <c r="M14" s="624">
        <v>1</v>
      </c>
    </row>
    <row r="15" spans="1:13">
      <c r="A15" s="72">
        <v>11</v>
      </c>
      <c r="B15" s="37" t="s">
        <v>520</v>
      </c>
      <c r="C15" s="161">
        <v>45950</v>
      </c>
      <c r="D15" s="162">
        <v>45968</v>
      </c>
      <c r="E15" s="40" t="s">
        <v>17</v>
      </c>
      <c r="F15" s="72">
        <v>7</v>
      </c>
      <c r="G15" s="72">
        <v>7</v>
      </c>
      <c r="H15" s="72">
        <v>1</v>
      </c>
      <c r="I15" s="72">
        <v>1</v>
      </c>
      <c r="J15" s="72">
        <v>1</v>
      </c>
      <c r="K15" s="72">
        <v>0</v>
      </c>
      <c r="L15" s="72">
        <v>1</v>
      </c>
      <c r="M15" s="72">
        <v>0</v>
      </c>
    </row>
    <row r="16" spans="1:13">
      <c r="A16" s="192">
        <v>12</v>
      </c>
      <c r="B16" s="86" t="s">
        <v>521</v>
      </c>
      <c r="C16" s="79">
        <v>45948</v>
      </c>
      <c r="D16" s="176">
        <v>45967</v>
      </c>
      <c r="E16" s="52" t="s">
        <v>250</v>
      </c>
      <c r="F16" s="192">
        <v>6</v>
      </c>
      <c r="G16" s="192">
        <v>5</v>
      </c>
      <c r="H16" s="192">
        <v>1</v>
      </c>
      <c r="I16" s="192">
        <v>0</v>
      </c>
      <c r="J16" s="192">
        <v>0</v>
      </c>
      <c r="K16" s="192">
        <v>0</v>
      </c>
      <c r="L16" s="192">
        <v>1</v>
      </c>
      <c r="M16" s="192">
        <v>0</v>
      </c>
    </row>
    <row r="17" spans="1:13">
      <c r="A17" s="629">
        <v>13</v>
      </c>
      <c r="B17" s="630" t="s">
        <v>522</v>
      </c>
      <c r="C17" s="631">
        <v>45954</v>
      </c>
      <c r="D17" s="632">
        <v>45977</v>
      </c>
      <c r="E17" s="633" t="s">
        <v>250</v>
      </c>
      <c r="F17" s="629">
        <v>15</v>
      </c>
      <c r="G17" s="629">
        <v>15</v>
      </c>
      <c r="H17" s="629">
        <v>1</v>
      </c>
      <c r="I17" s="629">
        <v>0</v>
      </c>
      <c r="J17" s="629">
        <v>0</v>
      </c>
      <c r="K17" s="629">
        <v>0</v>
      </c>
      <c r="L17" s="629">
        <v>0</v>
      </c>
      <c r="M17" s="629">
        <v>1</v>
      </c>
    </row>
    <row r="18" spans="1:13">
      <c r="A18" s="22">
        <v>14</v>
      </c>
      <c r="B18" s="28" t="s">
        <v>523</v>
      </c>
      <c r="C18" s="19">
        <v>45949</v>
      </c>
      <c r="D18" s="20">
        <v>45967</v>
      </c>
      <c r="E18" s="602" t="s">
        <v>36</v>
      </c>
      <c r="F18" s="22">
        <v>6</v>
      </c>
      <c r="G18" s="22">
        <v>5</v>
      </c>
      <c r="H18" s="22">
        <v>1</v>
      </c>
      <c r="I18" s="22">
        <v>0</v>
      </c>
      <c r="J18" s="22">
        <v>0</v>
      </c>
      <c r="K18" s="22">
        <v>0</v>
      </c>
      <c r="L18" s="22">
        <v>1</v>
      </c>
      <c r="M18" s="22">
        <v>0</v>
      </c>
    </row>
    <row r="19" spans="1:13">
      <c r="A19" s="672">
        <v>15</v>
      </c>
      <c r="B19" s="639" t="s">
        <v>526</v>
      </c>
      <c r="C19" s="583">
        <v>45947</v>
      </c>
      <c r="D19" s="673">
        <v>45989</v>
      </c>
      <c r="E19" s="319" t="s">
        <v>255</v>
      </c>
      <c r="F19" s="672">
        <v>28</v>
      </c>
      <c r="G19" s="672">
        <v>27</v>
      </c>
      <c r="H19" s="672">
        <v>1</v>
      </c>
      <c r="I19" s="672">
        <v>0</v>
      </c>
      <c r="J19" s="672">
        <v>0</v>
      </c>
      <c r="K19" s="672">
        <v>0</v>
      </c>
      <c r="L19" s="672">
        <v>0</v>
      </c>
      <c r="M19" s="672">
        <v>1</v>
      </c>
    </row>
    <row r="20" spans="1:13">
      <c r="A20" s="598">
        <v>16</v>
      </c>
      <c r="B20" s="581" t="s">
        <v>530</v>
      </c>
      <c r="C20" s="592">
        <v>45969</v>
      </c>
      <c r="D20" s="593">
        <v>45969</v>
      </c>
      <c r="E20" s="40" t="s">
        <v>17</v>
      </c>
      <c r="F20" s="594">
        <v>1</v>
      </c>
      <c r="G20" s="594">
        <v>1</v>
      </c>
      <c r="H20" s="594">
        <v>1</v>
      </c>
      <c r="I20" s="594">
        <v>1</v>
      </c>
      <c r="J20" s="594">
        <v>0</v>
      </c>
      <c r="K20" s="594">
        <v>1</v>
      </c>
      <c r="L20" s="594">
        <v>1</v>
      </c>
      <c r="M20" s="594">
        <v>0</v>
      </c>
    </row>
    <row r="21" spans="1:13">
      <c r="A21" s="610">
        <v>17</v>
      </c>
      <c r="B21" s="635" t="s">
        <v>510</v>
      </c>
      <c r="C21" s="612">
        <v>45971</v>
      </c>
      <c r="D21" s="613">
        <v>45979</v>
      </c>
      <c r="E21" s="52" t="s">
        <v>250</v>
      </c>
      <c r="F21" s="614">
        <v>9</v>
      </c>
      <c r="G21" s="614">
        <v>8</v>
      </c>
      <c r="H21" s="614">
        <v>1</v>
      </c>
      <c r="I21" s="614">
        <v>0</v>
      </c>
      <c r="J21" s="614">
        <v>0</v>
      </c>
      <c r="K21" s="614">
        <v>0</v>
      </c>
      <c r="L21" s="614">
        <v>1</v>
      </c>
      <c r="M21" s="614">
        <v>0</v>
      </c>
    </row>
    <row r="22" spans="1:13">
      <c r="A22" s="610">
        <v>18</v>
      </c>
      <c r="B22" s="611" t="s">
        <v>531</v>
      </c>
      <c r="C22" s="612">
        <v>45961</v>
      </c>
      <c r="D22" s="613">
        <v>45970</v>
      </c>
      <c r="E22" s="52" t="s">
        <v>250</v>
      </c>
      <c r="F22" s="614">
        <v>9</v>
      </c>
      <c r="G22" s="614">
        <v>8</v>
      </c>
      <c r="H22" s="614">
        <v>1</v>
      </c>
      <c r="I22" s="614">
        <v>0</v>
      </c>
      <c r="J22" s="614">
        <v>0</v>
      </c>
      <c r="K22" s="614">
        <v>0</v>
      </c>
      <c r="L22" s="614">
        <v>1</v>
      </c>
      <c r="M22" s="614">
        <v>0</v>
      </c>
    </row>
    <row r="23" spans="1:13">
      <c r="A23" s="638">
        <v>19</v>
      </c>
      <c r="B23" s="639" t="s">
        <v>539</v>
      </c>
      <c r="C23" s="640">
        <v>45969</v>
      </c>
      <c r="D23" s="641">
        <v>45979</v>
      </c>
      <c r="E23" s="319" t="s">
        <v>255</v>
      </c>
      <c r="F23" s="642">
        <v>11</v>
      </c>
      <c r="G23" s="642">
        <v>10</v>
      </c>
      <c r="H23" s="642">
        <v>1</v>
      </c>
      <c r="I23" s="642">
        <v>0</v>
      </c>
      <c r="J23" s="642">
        <v>0</v>
      </c>
      <c r="K23" s="642">
        <v>0</v>
      </c>
      <c r="L23" s="642">
        <v>0</v>
      </c>
      <c r="M23" s="642">
        <v>1</v>
      </c>
    </row>
    <row r="24" spans="1:13">
      <c r="A24" s="660">
        <v>20</v>
      </c>
      <c r="B24" s="661" t="s">
        <v>532</v>
      </c>
      <c r="C24" s="662">
        <v>45964</v>
      </c>
      <c r="D24" s="663">
        <v>45985</v>
      </c>
      <c r="E24" s="664" t="s">
        <v>431</v>
      </c>
      <c r="F24" s="665">
        <v>22</v>
      </c>
      <c r="G24" s="665">
        <v>21</v>
      </c>
      <c r="H24" s="665">
        <v>1</v>
      </c>
      <c r="I24" s="665">
        <v>0</v>
      </c>
      <c r="J24" s="665">
        <v>0</v>
      </c>
      <c r="K24" s="665">
        <v>0</v>
      </c>
      <c r="L24" s="665">
        <v>1</v>
      </c>
      <c r="M24" s="665">
        <v>0</v>
      </c>
    </row>
    <row r="25" spans="1:13">
      <c r="A25" s="596">
        <v>21</v>
      </c>
      <c r="B25" s="670" t="s">
        <v>533</v>
      </c>
      <c r="C25" s="595">
        <v>45966</v>
      </c>
      <c r="D25" s="587"/>
      <c r="E25" s="587"/>
      <c r="F25" s="587">
        <v>26</v>
      </c>
      <c r="G25" s="587">
        <v>26</v>
      </c>
      <c r="H25" s="587"/>
      <c r="I25" s="587"/>
      <c r="J25" s="587"/>
      <c r="K25" s="587"/>
      <c r="L25" s="587">
        <v>0</v>
      </c>
      <c r="M25" s="587">
        <v>1</v>
      </c>
    </row>
    <row r="26" spans="1:13">
      <c r="A26" s="596">
        <v>22</v>
      </c>
      <c r="B26" s="670" t="s">
        <v>534</v>
      </c>
      <c r="C26" s="595">
        <v>45967</v>
      </c>
      <c r="D26" s="587"/>
      <c r="E26" s="587"/>
      <c r="F26" s="587">
        <v>25</v>
      </c>
      <c r="G26" s="587">
        <v>25</v>
      </c>
      <c r="H26" s="587"/>
      <c r="I26" s="587"/>
      <c r="J26" s="587"/>
      <c r="K26" s="587"/>
      <c r="L26" s="587">
        <v>0</v>
      </c>
      <c r="M26" s="587">
        <v>1</v>
      </c>
    </row>
    <row r="27" spans="1:13">
      <c r="A27" s="650">
        <v>23</v>
      </c>
      <c r="B27" s="639" t="s">
        <v>535</v>
      </c>
      <c r="C27" s="651">
        <v>45967</v>
      </c>
      <c r="D27" s="652">
        <v>45984</v>
      </c>
      <c r="E27" s="653" t="s">
        <v>255</v>
      </c>
      <c r="F27" s="654">
        <v>18</v>
      </c>
      <c r="G27" s="654">
        <v>17</v>
      </c>
      <c r="H27" s="654">
        <v>1</v>
      </c>
      <c r="I27" s="654">
        <v>0</v>
      </c>
      <c r="J27" s="654">
        <v>0</v>
      </c>
      <c r="K27" s="654">
        <v>0</v>
      </c>
      <c r="L27" s="654">
        <v>0</v>
      </c>
      <c r="M27" s="654">
        <v>1</v>
      </c>
    </row>
    <row r="28" spans="1:13">
      <c r="A28" s="636">
        <v>24</v>
      </c>
      <c r="B28" s="606" t="s">
        <v>536</v>
      </c>
      <c r="C28" s="637">
        <v>45969</v>
      </c>
      <c r="D28" s="616">
        <v>45981</v>
      </c>
      <c r="E28" s="602" t="s">
        <v>36</v>
      </c>
      <c r="F28" s="618">
        <v>13</v>
      </c>
      <c r="G28" s="618">
        <v>12</v>
      </c>
      <c r="H28" s="618">
        <v>1</v>
      </c>
      <c r="I28" s="618">
        <v>0</v>
      </c>
      <c r="J28" s="618">
        <v>0</v>
      </c>
      <c r="K28" s="618">
        <v>0</v>
      </c>
      <c r="L28" s="618">
        <v>0</v>
      </c>
      <c r="M28" s="618">
        <v>1</v>
      </c>
    </row>
    <row r="29" spans="1:13">
      <c r="A29" s="660">
        <v>25</v>
      </c>
      <c r="B29" s="661" t="s">
        <v>538</v>
      </c>
      <c r="C29" s="662">
        <v>45969</v>
      </c>
      <c r="D29" s="663">
        <v>45985</v>
      </c>
      <c r="E29" s="664" t="s">
        <v>431</v>
      </c>
      <c r="F29" s="665">
        <v>17</v>
      </c>
      <c r="G29" s="665">
        <v>16</v>
      </c>
      <c r="H29" s="665">
        <v>1</v>
      </c>
      <c r="I29" s="665">
        <v>0</v>
      </c>
      <c r="J29" s="665">
        <v>0</v>
      </c>
      <c r="K29" s="665">
        <v>0</v>
      </c>
      <c r="L29" s="665">
        <v>1</v>
      </c>
      <c r="M29" s="665">
        <v>0</v>
      </c>
    </row>
    <row r="30" spans="1:13">
      <c r="A30" s="596">
        <v>26</v>
      </c>
      <c r="B30" s="670" t="s">
        <v>542</v>
      </c>
      <c r="C30" s="595">
        <v>45962</v>
      </c>
      <c r="D30" s="587"/>
      <c r="E30" s="587"/>
      <c r="F30" s="587">
        <v>30</v>
      </c>
      <c r="G30" s="587">
        <v>30</v>
      </c>
      <c r="H30" s="587"/>
      <c r="I30" s="587"/>
      <c r="J30" s="587"/>
      <c r="K30" s="587"/>
      <c r="L30" s="587">
        <v>0</v>
      </c>
      <c r="M30" s="587">
        <v>1</v>
      </c>
    </row>
    <row r="31" spans="1:13">
      <c r="A31" s="596">
        <v>27</v>
      </c>
      <c r="B31" s="670" t="s">
        <v>540</v>
      </c>
      <c r="C31" s="595">
        <v>45975</v>
      </c>
      <c r="D31" s="587"/>
      <c r="E31" s="587"/>
      <c r="F31" s="587">
        <v>17</v>
      </c>
      <c r="G31" s="587">
        <v>17</v>
      </c>
      <c r="H31" s="587"/>
      <c r="I31" s="587"/>
      <c r="J31" s="587"/>
      <c r="K31" s="587"/>
      <c r="L31" s="587">
        <v>1</v>
      </c>
      <c r="M31" s="587">
        <v>0</v>
      </c>
    </row>
    <row r="32" spans="1:13">
      <c r="A32" s="625">
        <v>28</v>
      </c>
      <c r="B32" s="606" t="s">
        <v>541</v>
      </c>
      <c r="C32" s="605">
        <v>45978</v>
      </c>
      <c r="D32" s="601">
        <v>45985</v>
      </c>
      <c r="E32" s="602" t="s">
        <v>36</v>
      </c>
      <c r="F32" s="603">
        <v>8</v>
      </c>
      <c r="G32" s="603">
        <v>7</v>
      </c>
      <c r="H32" s="603">
        <v>1</v>
      </c>
      <c r="I32" s="603">
        <v>0</v>
      </c>
      <c r="J32" s="603">
        <v>0</v>
      </c>
      <c r="K32" s="603">
        <v>0</v>
      </c>
      <c r="L32" s="603">
        <v>1</v>
      </c>
      <c r="M32" s="603">
        <v>0</v>
      </c>
    </row>
    <row r="33" spans="1:13">
      <c r="A33" s="610">
        <v>29</v>
      </c>
      <c r="B33" s="630" t="s">
        <v>551</v>
      </c>
      <c r="C33" s="612">
        <v>45976</v>
      </c>
      <c r="D33" s="613">
        <v>45991</v>
      </c>
      <c r="E33" s="52" t="s">
        <v>250</v>
      </c>
      <c r="F33" s="614">
        <v>16</v>
      </c>
      <c r="G33" s="614">
        <v>15</v>
      </c>
      <c r="H33" s="614">
        <v>1</v>
      </c>
      <c r="I33" s="614">
        <v>0</v>
      </c>
      <c r="J33" s="614">
        <v>0</v>
      </c>
      <c r="K33" s="614">
        <v>0</v>
      </c>
      <c r="L33" s="614">
        <v>1</v>
      </c>
      <c r="M33" s="614">
        <v>0</v>
      </c>
    </row>
    <row r="34" spans="1:13">
      <c r="A34" s="596">
        <v>30</v>
      </c>
      <c r="B34" s="670" t="s">
        <v>547</v>
      </c>
      <c r="C34" s="595">
        <v>45980</v>
      </c>
      <c r="D34" s="587"/>
      <c r="E34" s="587"/>
      <c r="F34" s="587">
        <v>12</v>
      </c>
      <c r="G34" s="587">
        <v>12</v>
      </c>
      <c r="H34" s="587"/>
      <c r="I34" s="587"/>
      <c r="J34" s="587"/>
      <c r="K34" s="587"/>
      <c r="L34" s="587">
        <v>1</v>
      </c>
      <c r="M34" s="587">
        <v>0</v>
      </c>
    </row>
    <row r="35" spans="1:13">
      <c r="A35" s="596">
        <v>31</v>
      </c>
      <c r="B35" s="670" t="s">
        <v>556</v>
      </c>
      <c r="C35" s="595">
        <v>45979</v>
      </c>
      <c r="D35" s="587"/>
      <c r="E35" s="587"/>
      <c r="F35" s="587">
        <v>13</v>
      </c>
      <c r="G35" s="587">
        <v>13</v>
      </c>
      <c r="H35" s="587"/>
      <c r="I35" s="587"/>
      <c r="J35" s="587"/>
      <c r="K35" s="587"/>
      <c r="L35" s="587">
        <v>1</v>
      </c>
      <c r="M35" s="587">
        <v>0</v>
      </c>
    </row>
    <row r="36" spans="1:13">
      <c r="A36" s="580">
        <v>32</v>
      </c>
      <c r="B36" s="670" t="s">
        <v>545</v>
      </c>
      <c r="C36" s="595">
        <v>45979</v>
      </c>
      <c r="D36" s="27"/>
      <c r="E36" s="27"/>
      <c r="F36" s="27">
        <v>13</v>
      </c>
      <c r="G36" s="27">
        <v>13</v>
      </c>
      <c r="H36" s="27"/>
      <c r="I36" s="27"/>
      <c r="J36" s="27"/>
      <c r="K36" s="27"/>
      <c r="L36" s="27">
        <v>0</v>
      </c>
      <c r="M36" s="27">
        <v>1</v>
      </c>
    </row>
    <row r="37" spans="1:13">
      <c r="A37" s="580">
        <v>33</v>
      </c>
      <c r="B37" s="670" t="s">
        <v>555</v>
      </c>
      <c r="C37" s="595">
        <v>45985</v>
      </c>
      <c r="D37" s="27"/>
      <c r="E37" s="27"/>
      <c r="F37" s="27">
        <v>7</v>
      </c>
      <c r="G37" s="27">
        <v>7</v>
      </c>
      <c r="H37" s="27"/>
      <c r="I37" s="27"/>
      <c r="J37" s="27"/>
      <c r="K37" s="27"/>
      <c r="L37" s="27">
        <v>1</v>
      </c>
      <c r="M37" s="27">
        <v>0</v>
      </c>
    </row>
    <row r="38" spans="1:13">
      <c r="A38" s="580">
        <v>34</v>
      </c>
      <c r="B38" s="670" t="s">
        <v>546</v>
      </c>
      <c r="C38" s="595">
        <v>45985</v>
      </c>
      <c r="D38" s="27"/>
      <c r="E38" s="27"/>
      <c r="F38" s="27">
        <v>7</v>
      </c>
      <c r="G38" s="27">
        <v>7</v>
      </c>
      <c r="H38" s="27"/>
      <c r="I38" s="27"/>
      <c r="J38" s="27"/>
      <c r="K38" s="27"/>
      <c r="L38" s="27">
        <v>0</v>
      </c>
      <c r="M38" s="27">
        <v>1</v>
      </c>
    </row>
    <row r="39" spans="1:13">
      <c r="A39" s="580">
        <v>35</v>
      </c>
      <c r="B39" s="670" t="s">
        <v>548</v>
      </c>
      <c r="C39" s="595">
        <v>45985</v>
      </c>
      <c r="D39" s="27"/>
      <c r="E39" s="27"/>
      <c r="F39" s="27">
        <v>7</v>
      </c>
      <c r="G39" s="27">
        <v>7</v>
      </c>
      <c r="H39" s="27"/>
      <c r="I39" s="27"/>
      <c r="J39" s="27"/>
      <c r="K39" s="27"/>
      <c r="L39" s="27">
        <v>1</v>
      </c>
      <c r="M39" s="27">
        <v>0</v>
      </c>
    </row>
    <row r="40" spans="1:13">
      <c r="A40" s="580">
        <v>36</v>
      </c>
      <c r="B40" s="670" t="s">
        <v>549</v>
      </c>
      <c r="C40" s="595">
        <v>45985</v>
      </c>
      <c r="D40" s="27"/>
      <c r="E40" s="27"/>
      <c r="F40" s="27">
        <v>7</v>
      </c>
      <c r="G40" s="27">
        <v>7</v>
      </c>
      <c r="H40" s="27"/>
      <c r="I40" s="27"/>
      <c r="J40" s="27"/>
      <c r="K40" s="27"/>
      <c r="L40" s="27">
        <v>0</v>
      </c>
      <c r="M40" s="27">
        <v>1</v>
      </c>
    </row>
    <row r="41" spans="1:13">
      <c r="A41" s="580">
        <v>37</v>
      </c>
      <c r="B41" s="670" t="s">
        <v>535</v>
      </c>
      <c r="C41" s="595">
        <v>45990</v>
      </c>
      <c r="D41" s="587"/>
      <c r="E41" s="587"/>
      <c r="F41" s="587">
        <v>2</v>
      </c>
      <c r="G41" s="587">
        <v>2</v>
      </c>
      <c r="H41" s="587"/>
      <c r="I41" s="587"/>
      <c r="J41" s="587"/>
      <c r="K41" s="587"/>
      <c r="L41" s="587">
        <v>1</v>
      </c>
      <c r="M41" s="587">
        <v>0</v>
      </c>
    </row>
    <row r="42" spans="1:13">
      <c r="A42" s="580">
        <v>38</v>
      </c>
      <c r="B42" s="670" t="s">
        <v>552</v>
      </c>
      <c r="C42" s="595">
        <v>45988</v>
      </c>
      <c r="D42" s="587"/>
      <c r="E42" s="587"/>
      <c r="F42" s="587">
        <v>4</v>
      </c>
      <c r="G42" s="587">
        <v>4</v>
      </c>
      <c r="H42" s="587"/>
      <c r="I42" s="587"/>
      <c r="J42" s="587"/>
      <c r="K42" s="587"/>
      <c r="L42" s="587">
        <v>1</v>
      </c>
      <c r="M42" s="587">
        <v>0</v>
      </c>
    </row>
    <row r="43" spans="1:13">
      <c r="A43" s="580">
        <v>39</v>
      </c>
      <c r="B43" s="670" t="s">
        <v>553</v>
      </c>
      <c r="C43" s="595">
        <v>45990</v>
      </c>
      <c r="D43" s="587"/>
      <c r="E43" s="587"/>
      <c r="F43" s="587">
        <v>2</v>
      </c>
      <c r="G43" s="587">
        <v>2</v>
      </c>
      <c r="H43" s="587"/>
      <c r="I43" s="587"/>
      <c r="J43" s="587"/>
      <c r="K43" s="587"/>
      <c r="L43" s="587">
        <v>1</v>
      </c>
      <c r="M43" s="587">
        <v>0</v>
      </c>
    </row>
    <row r="44" spans="1:13">
      <c r="A44" s="580">
        <v>40</v>
      </c>
      <c r="B44" s="670" t="s">
        <v>554</v>
      </c>
      <c r="C44" s="595">
        <v>45991</v>
      </c>
      <c r="D44" s="587"/>
      <c r="E44" s="587"/>
      <c r="F44" s="587">
        <v>1</v>
      </c>
      <c r="G44" s="587">
        <v>1</v>
      </c>
      <c r="H44" s="587"/>
      <c r="I44" s="587"/>
      <c r="J44" s="587"/>
      <c r="K44" s="587"/>
      <c r="L44" s="587">
        <v>0</v>
      </c>
      <c r="M44" s="587">
        <v>1</v>
      </c>
    </row>
    <row r="45" spans="1:13">
      <c r="A45" s="576"/>
      <c r="B45" s="577"/>
      <c r="C45" s="577"/>
      <c r="D45" s="577"/>
      <c r="E45" s="578"/>
      <c r="F45" s="106">
        <v>536</v>
      </c>
      <c r="G45" s="107">
        <f>SUM(G5:G44)</f>
        <v>520</v>
      </c>
      <c r="H45" s="107">
        <v>22</v>
      </c>
      <c r="I45" s="107">
        <f>SUM(I5:I24)</f>
        <v>4</v>
      </c>
      <c r="J45" s="107">
        <f>SUM(J5:J24)</f>
        <v>3</v>
      </c>
      <c r="K45" s="107">
        <f>SUM(K5:K24)</f>
        <v>1</v>
      </c>
      <c r="L45" s="107">
        <f t="shared" ref="H45:M45" si="0">SUM(L5:L19)</f>
        <v>10</v>
      </c>
      <c r="M45" s="107">
        <f t="shared" si="0"/>
        <v>5</v>
      </c>
    </row>
    <row r="46" spans="1:13">
      <c r="A46" s="108"/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37"/>
    </row>
    <row r="47" spans="1:13" ht="38.25">
      <c r="A47" s="111"/>
      <c r="B47" s="109"/>
      <c r="C47" s="112" t="s">
        <v>91</v>
      </c>
      <c r="D47" s="113" t="s">
        <v>92</v>
      </c>
      <c r="E47" s="112" t="s">
        <v>93</v>
      </c>
      <c r="F47" s="113" t="s">
        <v>94</v>
      </c>
      <c r="G47" s="113" t="s">
        <v>95</v>
      </c>
      <c r="H47" s="113" t="s">
        <v>96</v>
      </c>
      <c r="I47" s="113" t="s">
        <v>97</v>
      </c>
      <c r="J47" s="113" t="s">
        <v>98</v>
      </c>
      <c r="K47" s="112" t="s">
        <v>99</v>
      </c>
      <c r="L47" s="138" t="s">
        <v>100</v>
      </c>
      <c r="M47" s="112" t="s">
        <v>101</v>
      </c>
    </row>
    <row r="48" spans="1:13">
      <c r="A48" s="111"/>
      <c r="B48" s="114"/>
      <c r="C48" s="115">
        <v>18</v>
      </c>
      <c r="D48" s="115">
        <v>30</v>
      </c>
      <c r="E48" s="115">
        <v>540</v>
      </c>
      <c r="F48" s="116">
        <v>536</v>
      </c>
      <c r="G48" s="117">
        <f>SUM(F48/E48)</f>
        <v>0.99259259259259258</v>
      </c>
      <c r="H48" s="118">
        <f>SUM(G45/H45)</f>
        <v>23.636363636363637</v>
      </c>
      <c r="I48" s="139">
        <v>0.128205128205128</v>
      </c>
      <c r="J48" s="139">
        <v>0.8</v>
      </c>
      <c r="K48" s="140">
        <v>0.2</v>
      </c>
      <c r="L48" s="141">
        <v>0.58974358974358998</v>
      </c>
      <c r="M48" s="140">
        <v>0.41025641025641002</v>
      </c>
    </row>
    <row r="51" spans="1:13">
      <c r="B51" t="s">
        <v>344</v>
      </c>
    </row>
    <row r="52" spans="1:13" ht="25.5">
      <c r="A52" s="7" t="s">
        <v>1</v>
      </c>
      <c r="B52" s="10" t="s">
        <v>2</v>
      </c>
      <c r="C52" s="7" t="s">
        <v>3</v>
      </c>
      <c r="D52" s="7" t="s">
        <v>4</v>
      </c>
      <c r="E52" s="8" t="s">
        <v>5</v>
      </c>
      <c r="F52" s="9" t="s">
        <v>6</v>
      </c>
      <c r="G52" s="7" t="s">
        <v>7</v>
      </c>
      <c r="H52" s="10" t="s">
        <v>8</v>
      </c>
      <c r="I52" s="10" t="s">
        <v>9</v>
      </c>
      <c r="J52" s="8" t="s">
        <v>10</v>
      </c>
      <c r="K52" s="134" t="s">
        <v>11</v>
      </c>
      <c r="L52" s="135" t="s">
        <v>12</v>
      </c>
      <c r="M52" s="134" t="s">
        <v>13</v>
      </c>
    </row>
    <row r="53" spans="1:13">
      <c r="A53" s="119">
        <v>1</v>
      </c>
      <c r="B53" s="606" t="s">
        <v>495</v>
      </c>
      <c r="C53" s="19">
        <v>45946</v>
      </c>
      <c r="D53" s="55">
        <v>45976</v>
      </c>
      <c r="E53" s="602" t="s">
        <v>36</v>
      </c>
      <c r="F53" s="31">
        <v>15</v>
      </c>
      <c r="G53" s="31">
        <v>14</v>
      </c>
      <c r="H53" s="31">
        <v>1</v>
      </c>
      <c r="I53" s="31">
        <v>0</v>
      </c>
      <c r="J53" s="31">
        <v>0</v>
      </c>
      <c r="K53" s="31">
        <v>0</v>
      </c>
      <c r="L53" s="31">
        <v>1</v>
      </c>
      <c r="M53" s="31">
        <v>0</v>
      </c>
    </row>
    <row r="54" spans="1:13">
      <c r="A54" s="608">
        <v>2</v>
      </c>
      <c r="B54" s="606" t="s">
        <v>487</v>
      </c>
      <c r="C54" s="609">
        <v>45937</v>
      </c>
      <c r="D54" s="601">
        <v>45964</v>
      </c>
      <c r="E54" s="602" t="s">
        <v>36</v>
      </c>
      <c r="F54" s="603">
        <v>3</v>
      </c>
      <c r="G54" s="603">
        <v>2</v>
      </c>
      <c r="H54" s="603">
        <v>1</v>
      </c>
      <c r="I54" s="603">
        <v>0</v>
      </c>
      <c r="J54" s="603">
        <v>0</v>
      </c>
      <c r="K54" s="603">
        <v>0</v>
      </c>
      <c r="L54" s="603">
        <v>1</v>
      </c>
      <c r="M54" s="603">
        <v>0</v>
      </c>
    </row>
    <row r="55" spans="1:13">
      <c r="A55" s="119">
        <v>3</v>
      </c>
      <c r="B55" s="628" t="s">
        <v>527</v>
      </c>
      <c r="C55" s="19">
        <v>45952</v>
      </c>
      <c r="D55" s="20">
        <v>45976</v>
      </c>
      <c r="E55" s="602" t="s">
        <v>36</v>
      </c>
      <c r="F55" s="22">
        <v>15</v>
      </c>
      <c r="G55" s="22">
        <v>14</v>
      </c>
      <c r="H55" s="22">
        <v>1</v>
      </c>
      <c r="I55" s="22">
        <v>0</v>
      </c>
      <c r="J55" s="22">
        <v>0</v>
      </c>
      <c r="K55" s="22">
        <v>0</v>
      </c>
      <c r="L55" s="22">
        <v>0</v>
      </c>
      <c r="M55" s="22">
        <v>1</v>
      </c>
    </row>
    <row r="56" spans="1:13">
      <c r="A56" s="599">
        <v>4</v>
      </c>
      <c r="B56" s="600" t="s">
        <v>517</v>
      </c>
      <c r="C56" s="605">
        <v>45949</v>
      </c>
      <c r="D56" s="601">
        <v>45967</v>
      </c>
      <c r="E56" s="602" t="s">
        <v>36</v>
      </c>
      <c r="F56" s="603">
        <v>6</v>
      </c>
      <c r="G56" s="603">
        <v>5</v>
      </c>
      <c r="H56" s="603">
        <v>1</v>
      </c>
      <c r="I56" s="603">
        <v>0</v>
      </c>
      <c r="J56" s="603">
        <v>0</v>
      </c>
      <c r="K56" s="603">
        <v>0</v>
      </c>
      <c r="L56" s="603">
        <v>0</v>
      </c>
      <c r="M56" s="603">
        <v>1</v>
      </c>
    </row>
    <row r="57" spans="1:13">
      <c r="A57" s="615">
        <v>5</v>
      </c>
      <c r="B57" s="28" t="s">
        <v>521</v>
      </c>
      <c r="C57" s="616">
        <v>45967</v>
      </c>
      <c r="D57" s="616">
        <v>45979</v>
      </c>
      <c r="E57" s="602" t="s">
        <v>36</v>
      </c>
      <c r="F57" s="618">
        <v>13</v>
      </c>
      <c r="G57" s="618">
        <v>12</v>
      </c>
      <c r="H57" s="618">
        <v>1</v>
      </c>
      <c r="I57" s="618">
        <v>0</v>
      </c>
      <c r="J57" s="618">
        <v>0</v>
      </c>
      <c r="K57" s="618">
        <v>0</v>
      </c>
      <c r="L57" s="618">
        <v>1</v>
      </c>
      <c r="M57" s="618">
        <v>0</v>
      </c>
    </row>
    <row r="58" spans="1:13">
      <c r="A58" s="579">
        <v>6</v>
      </c>
      <c r="B58" s="580" t="s">
        <v>531</v>
      </c>
      <c r="C58" s="586">
        <v>45970</v>
      </c>
      <c r="D58" s="587"/>
      <c r="E58" s="587"/>
      <c r="F58" s="587">
        <v>22</v>
      </c>
      <c r="G58" s="587">
        <v>22</v>
      </c>
      <c r="H58" s="587"/>
      <c r="I58" s="587"/>
      <c r="J58" s="587"/>
      <c r="K58" s="587"/>
      <c r="L58" s="587">
        <v>1</v>
      </c>
      <c r="M58" s="587">
        <v>0</v>
      </c>
    </row>
    <row r="59" spans="1:13">
      <c r="A59" s="615">
        <v>7</v>
      </c>
      <c r="B59" s="606" t="s">
        <v>522</v>
      </c>
      <c r="C59" s="616">
        <v>45977</v>
      </c>
      <c r="D59" s="616">
        <v>45980</v>
      </c>
      <c r="E59" s="602" t="s">
        <v>36</v>
      </c>
      <c r="F59" s="618">
        <v>4</v>
      </c>
      <c r="G59" s="618">
        <v>3</v>
      </c>
      <c r="H59" s="618">
        <v>1</v>
      </c>
      <c r="I59" s="618">
        <v>0</v>
      </c>
      <c r="J59" s="618">
        <v>0</v>
      </c>
      <c r="K59" s="618">
        <v>0</v>
      </c>
      <c r="L59" s="618">
        <v>0</v>
      </c>
      <c r="M59" s="618">
        <v>1</v>
      </c>
    </row>
    <row r="60" spans="1:13">
      <c r="A60" s="579">
        <v>8</v>
      </c>
      <c r="B60" s="634" t="s">
        <v>513</v>
      </c>
      <c r="C60" s="586">
        <v>45980</v>
      </c>
      <c r="D60" s="587"/>
      <c r="E60" s="587"/>
      <c r="F60" s="587">
        <v>12</v>
      </c>
      <c r="G60" s="587">
        <v>12</v>
      </c>
      <c r="H60" s="587"/>
      <c r="I60" s="587"/>
      <c r="J60" s="587"/>
      <c r="K60" s="587"/>
      <c r="L60" s="587">
        <v>1</v>
      </c>
      <c r="M60" s="587">
        <v>0</v>
      </c>
    </row>
    <row r="61" spans="1:13">
      <c r="A61" s="579">
        <v>9</v>
      </c>
      <c r="B61" s="634" t="s">
        <v>510</v>
      </c>
      <c r="C61" s="586">
        <v>45979</v>
      </c>
      <c r="D61" s="587"/>
      <c r="E61" s="587"/>
      <c r="F61" s="587">
        <v>13</v>
      </c>
      <c r="G61" s="587">
        <v>13</v>
      </c>
      <c r="H61" s="587"/>
      <c r="I61" s="587"/>
      <c r="J61" s="587"/>
      <c r="K61" s="587"/>
      <c r="L61" s="587">
        <v>1</v>
      </c>
      <c r="M61" s="587">
        <v>0</v>
      </c>
    </row>
    <row r="62" spans="1:13">
      <c r="A62" s="579">
        <v>10</v>
      </c>
      <c r="B62" s="607" t="s">
        <v>551</v>
      </c>
      <c r="C62" s="586">
        <v>45991</v>
      </c>
      <c r="D62" s="587"/>
      <c r="E62" s="587"/>
      <c r="F62" s="587">
        <v>1</v>
      </c>
      <c r="G62" s="587">
        <v>1</v>
      </c>
      <c r="H62" s="587"/>
      <c r="I62" s="587"/>
      <c r="J62" s="587"/>
      <c r="K62" s="587"/>
      <c r="L62" s="587">
        <v>1</v>
      </c>
      <c r="M62" s="587">
        <v>0</v>
      </c>
    </row>
    <row r="63" spans="1:13">
      <c r="A63" s="576"/>
      <c r="B63" s="577"/>
      <c r="C63" s="577"/>
      <c r="D63" s="577"/>
      <c r="E63" s="578"/>
      <c r="F63" s="146">
        <f>SUM(F53:F62)</f>
        <v>104</v>
      </c>
      <c r="G63" s="107">
        <f>SUM(G53:G62)</f>
        <v>98</v>
      </c>
      <c r="H63" s="107">
        <f>SUM(H53:H57)</f>
        <v>5</v>
      </c>
      <c r="I63" s="153">
        <v>0</v>
      </c>
      <c r="J63" s="153">
        <v>0</v>
      </c>
      <c r="K63" s="153">
        <v>0</v>
      </c>
      <c r="L63" s="107">
        <f>SUM(L53:L62)</f>
        <v>7</v>
      </c>
      <c r="M63" s="107">
        <f>SUM(M53:M62)</f>
        <v>3</v>
      </c>
    </row>
    <row r="64" spans="1:13">
      <c r="A64" s="108"/>
      <c r="B64" s="147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54"/>
    </row>
    <row r="65" spans="1:13" ht="38.25">
      <c r="A65" s="111"/>
      <c r="B65" s="148"/>
      <c r="C65" s="112" t="s">
        <v>91</v>
      </c>
      <c r="D65" s="113" t="s">
        <v>92</v>
      </c>
      <c r="E65" s="112" t="s">
        <v>93</v>
      </c>
      <c r="F65" s="113" t="s">
        <v>94</v>
      </c>
      <c r="G65" s="113" t="s">
        <v>95</v>
      </c>
      <c r="H65" s="113" t="s">
        <v>96</v>
      </c>
      <c r="I65" s="113" t="s">
        <v>97</v>
      </c>
      <c r="J65" s="113" t="s">
        <v>98</v>
      </c>
      <c r="K65" s="112" t="s">
        <v>99</v>
      </c>
      <c r="L65" s="138" t="s">
        <v>100</v>
      </c>
      <c r="M65" s="112" t="s">
        <v>101</v>
      </c>
    </row>
    <row r="66" spans="1:13">
      <c r="A66" s="111"/>
      <c r="B66" s="114"/>
      <c r="C66" s="115">
        <v>4</v>
      </c>
      <c r="D66" s="115">
        <v>30</v>
      </c>
      <c r="E66" s="115">
        <v>120</v>
      </c>
      <c r="F66" s="116">
        <v>104</v>
      </c>
      <c r="G66" s="117">
        <f>SUM(F66/E66)</f>
        <v>0.8666666666666667</v>
      </c>
      <c r="H66" s="118">
        <f>G63/H63</f>
        <v>19.600000000000001</v>
      </c>
      <c r="I66" s="139">
        <v>0</v>
      </c>
      <c r="J66" s="139">
        <v>0</v>
      </c>
      <c r="K66" s="139">
        <v>0</v>
      </c>
      <c r="L66" s="141">
        <v>0.58823529411764697</v>
      </c>
      <c r="M66" s="140">
        <v>0.41176470588235298</v>
      </c>
    </row>
    <row r="68" spans="1:13">
      <c r="B68" t="s">
        <v>354</v>
      </c>
    </row>
    <row r="69" spans="1:13" ht="25.5">
      <c r="A69" s="7" t="s">
        <v>1</v>
      </c>
      <c r="B69" s="10" t="s">
        <v>2</v>
      </c>
      <c r="C69" s="7" t="s">
        <v>3</v>
      </c>
      <c r="D69" s="7" t="s">
        <v>4</v>
      </c>
      <c r="E69" s="8" t="s">
        <v>5</v>
      </c>
      <c r="F69" s="9" t="s">
        <v>6</v>
      </c>
      <c r="G69" s="7" t="s">
        <v>7</v>
      </c>
      <c r="H69" s="10" t="s">
        <v>8</v>
      </c>
      <c r="I69" s="10" t="s">
        <v>9</v>
      </c>
      <c r="J69" s="8" t="s">
        <v>10</v>
      </c>
      <c r="K69" s="134" t="s">
        <v>11</v>
      </c>
      <c r="L69" s="135" t="s">
        <v>12</v>
      </c>
      <c r="M69" s="134" t="s">
        <v>13</v>
      </c>
    </row>
    <row r="70" spans="1:13">
      <c r="A70" s="603">
        <v>1</v>
      </c>
      <c r="B70" s="606" t="s">
        <v>528</v>
      </c>
      <c r="C70" s="601">
        <v>45931</v>
      </c>
      <c r="D70" s="601">
        <v>45962</v>
      </c>
      <c r="E70" s="602" t="s">
        <v>36</v>
      </c>
      <c r="F70" s="603">
        <v>1</v>
      </c>
      <c r="G70" s="603">
        <v>0</v>
      </c>
      <c r="H70" s="603">
        <v>1</v>
      </c>
      <c r="I70" s="603">
        <v>0</v>
      </c>
      <c r="J70" s="603">
        <v>0</v>
      </c>
      <c r="K70" s="603">
        <v>0</v>
      </c>
      <c r="L70" s="603">
        <v>1</v>
      </c>
      <c r="M70" s="603">
        <v>0</v>
      </c>
    </row>
    <row r="71" spans="1:13">
      <c r="A71" s="31">
        <v>2</v>
      </c>
      <c r="B71" s="606" t="s">
        <v>497</v>
      </c>
      <c r="C71" s="55">
        <v>45944</v>
      </c>
      <c r="D71" s="55">
        <v>45979</v>
      </c>
      <c r="E71" s="602" t="s">
        <v>36</v>
      </c>
      <c r="F71" s="31">
        <v>18</v>
      </c>
      <c r="G71" s="31">
        <v>17</v>
      </c>
      <c r="H71" s="31">
        <v>1</v>
      </c>
      <c r="I71" s="31">
        <v>0</v>
      </c>
      <c r="J71" s="31">
        <v>0</v>
      </c>
      <c r="K71" s="31">
        <v>0</v>
      </c>
      <c r="L71" s="31">
        <v>1</v>
      </c>
      <c r="M71" s="31">
        <v>0</v>
      </c>
    </row>
    <row r="72" spans="1:13">
      <c r="A72" s="603">
        <v>3</v>
      </c>
      <c r="B72" s="600" t="s">
        <v>529</v>
      </c>
      <c r="C72" s="601">
        <v>45956</v>
      </c>
      <c r="D72" s="601">
        <v>45967</v>
      </c>
      <c r="E72" s="602" t="s">
        <v>36</v>
      </c>
      <c r="F72" s="603">
        <v>6</v>
      </c>
      <c r="G72" s="603">
        <v>5</v>
      </c>
      <c r="H72" s="603">
        <v>1</v>
      </c>
      <c r="I72" s="603">
        <v>0</v>
      </c>
      <c r="J72" s="603">
        <v>0</v>
      </c>
      <c r="K72" s="603">
        <v>0</v>
      </c>
      <c r="L72" s="603">
        <v>0</v>
      </c>
      <c r="M72" s="603">
        <v>1</v>
      </c>
    </row>
    <row r="73" spans="1:13">
      <c r="A73" s="591">
        <v>4</v>
      </c>
      <c r="B73" s="588" t="s">
        <v>510</v>
      </c>
      <c r="C73" s="589">
        <v>45969</v>
      </c>
      <c r="D73" s="589">
        <v>45971</v>
      </c>
      <c r="E73" s="590" t="s">
        <v>434</v>
      </c>
      <c r="F73" s="591">
        <v>3</v>
      </c>
      <c r="G73" s="591">
        <v>2</v>
      </c>
      <c r="H73" s="591">
        <v>1</v>
      </c>
      <c r="I73" s="591">
        <v>0</v>
      </c>
      <c r="J73" s="591">
        <v>0</v>
      </c>
      <c r="K73" s="591">
        <v>0</v>
      </c>
      <c r="L73" s="591">
        <v>1</v>
      </c>
      <c r="M73" s="591">
        <v>0</v>
      </c>
    </row>
    <row r="74" spans="1:13">
      <c r="A74" s="618">
        <v>5</v>
      </c>
      <c r="B74" s="121" t="s">
        <v>515</v>
      </c>
      <c r="C74" s="616">
        <v>45965</v>
      </c>
      <c r="D74" s="617">
        <v>45972</v>
      </c>
      <c r="E74" s="602" t="s">
        <v>36</v>
      </c>
      <c r="F74" s="618">
        <v>8</v>
      </c>
      <c r="G74" s="618">
        <v>7</v>
      </c>
      <c r="H74" s="618">
        <v>1</v>
      </c>
      <c r="I74" s="618">
        <v>0</v>
      </c>
      <c r="J74" s="618">
        <v>0</v>
      </c>
      <c r="K74" s="618">
        <v>0</v>
      </c>
      <c r="L74" s="618">
        <v>1</v>
      </c>
      <c r="M74" s="618">
        <v>0</v>
      </c>
    </row>
    <row r="75" spans="1:13">
      <c r="A75" s="659">
        <v>6</v>
      </c>
      <c r="B75" s="656" t="s">
        <v>543</v>
      </c>
      <c r="C75" s="657" t="s">
        <v>550</v>
      </c>
      <c r="D75" s="658"/>
      <c r="E75" s="604"/>
      <c r="F75" s="659">
        <v>8</v>
      </c>
      <c r="G75" s="659">
        <v>8</v>
      </c>
      <c r="H75" s="659"/>
      <c r="I75" s="659"/>
      <c r="J75" s="659"/>
      <c r="K75" s="659"/>
      <c r="L75" s="659">
        <v>0</v>
      </c>
      <c r="M75" s="659">
        <v>1</v>
      </c>
    </row>
    <row r="76" spans="1:13">
      <c r="A76" s="587">
        <v>7</v>
      </c>
      <c r="B76" s="580" t="s">
        <v>544</v>
      </c>
      <c r="C76" s="643">
        <v>45977</v>
      </c>
      <c r="D76" s="579"/>
      <c r="E76" s="579"/>
      <c r="F76" s="587">
        <v>15</v>
      </c>
      <c r="G76" s="587">
        <v>15</v>
      </c>
      <c r="H76" s="587"/>
      <c r="I76" s="587"/>
      <c r="J76" s="587"/>
      <c r="K76" s="587"/>
      <c r="L76" s="587">
        <v>1</v>
      </c>
      <c r="M76" s="587">
        <v>0</v>
      </c>
    </row>
    <row r="77" spans="1:13">
      <c r="A77" s="22">
        <v>8</v>
      </c>
      <c r="B77" s="606" t="s">
        <v>539</v>
      </c>
      <c r="C77" s="655">
        <v>45979</v>
      </c>
      <c r="D77" s="20">
        <v>45988</v>
      </c>
      <c r="E77" s="602" t="s">
        <v>36</v>
      </c>
      <c r="F77" s="22">
        <v>10</v>
      </c>
      <c r="G77" s="22">
        <v>9</v>
      </c>
      <c r="H77" s="22">
        <v>1</v>
      </c>
      <c r="I77" s="22">
        <v>0</v>
      </c>
      <c r="J77" s="22">
        <v>0</v>
      </c>
      <c r="K77" s="22">
        <v>0</v>
      </c>
      <c r="L77" s="22">
        <v>0</v>
      </c>
      <c r="M77" s="22">
        <v>1</v>
      </c>
    </row>
    <row r="78" spans="1:13">
      <c r="A78" s="22">
        <v>9</v>
      </c>
      <c r="B78" s="606" t="s">
        <v>535</v>
      </c>
      <c r="C78" s="655">
        <v>45984</v>
      </c>
      <c r="D78" s="20">
        <v>45986</v>
      </c>
      <c r="E78" s="602" t="s">
        <v>36</v>
      </c>
      <c r="F78" s="22">
        <v>3</v>
      </c>
      <c r="G78" s="22">
        <v>2</v>
      </c>
      <c r="H78" s="22">
        <v>1</v>
      </c>
      <c r="I78" s="22">
        <v>0</v>
      </c>
      <c r="J78" s="22">
        <v>0</v>
      </c>
      <c r="K78" s="22">
        <v>0</v>
      </c>
      <c r="L78" s="22">
        <v>0</v>
      </c>
      <c r="M78" s="22">
        <v>1</v>
      </c>
    </row>
    <row r="79" spans="1:13">
      <c r="A79" s="27">
        <v>10</v>
      </c>
      <c r="B79" s="607" t="s">
        <v>526</v>
      </c>
      <c r="C79" s="644">
        <v>45989</v>
      </c>
      <c r="D79" s="26"/>
      <c r="E79" s="26"/>
      <c r="F79" s="27">
        <v>3</v>
      </c>
      <c r="G79" s="27">
        <v>3</v>
      </c>
      <c r="H79" s="27"/>
      <c r="I79" s="27"/>
      <c r="J79" s="27"/>
      <c r="K79" s="27"/>
      <c r="L79" s="27">
        <v>0</v>
      </c>
      <c r="M79" s="27">
        <v>1</v>
      </c>
    </row>
    <row r="80" spans="1:13">
      <c r="A80" s="576"/>
      <c r="B80" s="577"/>
      <c r="C80" s="577"/>
      <c r="D80" s="577"/>
      <c r="E80" s="578"/>
      <c r="F80" s="146">
        <f>SUM(F70:F79)</f>
        <v>75</v>
      </c>
      <c r="G80" s="107">
        <f>SUM(G70:G79)</f>
        <v>68</v>
      </c>
      <c r="H80" s="107">
        <v>7</v>
      </c>
      <c r="I80" s="153">
        <v>0</v>
      </c>
      <c r="J80" s="153">
        <v>0</v>
      </c>
      <c r="K80" s="153">
        <v>0</v>
      </c>
      <c r="L80" s="153">
        <v>5</v>
      </c>
      <c r="M80" s="153">
        <v>5</v>
      </c>
    </row>
    <row r="81" spans="1:13">
      <c r="A81" s="108"/>
      <c r="B81" s="147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54"/>
    </row>
    <row r="82" spans="1:13" ht="38.25">
      <c r="A82" s="111"/>
      <c r="B82" s="148"/>
      <c r="C82" s="112" t="s">
        <v>91</v>
      </c>
      <c r="D82" s="113" t="s">
        <v>92</v>
      </c>
      <c r="E82" s="112" t="s">
        <v>93</v>
      </c>
      <c r="F82" s="113" t="s">
        <v>94</v>
      </c>
      <c r="G82" s="113" t="s">
        <v>95</v>
      </c>
      <c r="H82" s="113" t="s">
        <v>96</v>
      </c>
      <c r="I82" s="113" t="s">
        <v>97</v>
      </c>
      <c r="J82" s="113" t="s">
        <v>98</v>
      </c>
      <c r="K82" s="112" t="s">
        <v>99</v>
      </c>
      <c r="L82" s="138" t="s">
        <v>100</v>
      </c>
      <c r="M82" s="112" t="s">
        <v>101</v>
      </c>
    </row>
    <row r="83" spans="1:13">
      <c r="A83" s="111"/>
      <c r="B83" s="114"/>
      <c r="C83" s="115">
        <v>3</v>
      </c>
      <c r="D83" s="115">
        <v>30</v>
      </c>
      <c r="E83" s="115">
        <v>90</v>
      </c>
      <c r="F83" s="116">
        <v>75</v>
      </c>
      <c r="G83" s="117">
        <f>F83/E83</f>
        <v>0.83333333333333337</v>
      </c>
      <c r="H83" s="118">
        <f>G80/H80</f>
        <v>9.7142857142857135</v>
      </c>
      <c r="I83" s="139">
        <v>0</v>
      </c>
      <c r="J83" s="139">
        <v>0</v>
      </c>
      <c r="K83" s="140">
        <v>0</v>
      </c>
      <c r="L83" s="141">
        <v>0.5</v>
      </c>
      <c r="M83" s="140">
        <v>0.5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DEZEMBRO 2024</vt:lpstr>
      <vt:lpstr>JANEIRO 2025</vt:lpstr>
      <vt:lpstr>FEV 2025</vt:lpstr>
      <vt:lpstr>MARÇO 2025</vt:lpstr>
      <vt:lpstr>ABRIL 2025</vt:lpstr>
      <vt:lpstr>MAIO 2025</vt:lpstr>
      <vt:lpstr>JUNHO 2025</vt:lpstr>
      <vt:lpstr>JULHO 2025</vt:lpstr>
      <vt:lpstr>AGOST 2025</vt:lpstr>
      <vt:lpstr>SETEM 2025</vt:lpstr>
      <vt:lpstr>OUT 2025</vt:lpstr>
      <vt:lpstr>NOV 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neo2</cp:lastModifiedBy>
  <dcterms:created xsi:type="dcterms:W3CDTF">2024-01-08T17:47:00Z</dcterms:created>
  <dcterms:modified xsi:type="dcterms:W3CDTF">2025-12-01T20:05:01Z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043484516B874C839C3177285B92523E_12</vt:lpwstr>
  </property>
  <property fmtid="{D5CDD505-2E9C-101B-9397-08002B2CF9AE}" pid="3" name="KSOProductBuildVer">
    <vt:lpwstr>1046-12.2.0.23131</vt:lpwstr>
  </property>
</Properties>
</file>